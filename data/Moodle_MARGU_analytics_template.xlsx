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проекты\dashboards\data\"/>
    </mc:Choice>
  </mc:AlternateContent>
  <bookViews>
    <workbookView xWindow="0" yWindow="0" windowWidth="28800" windowHeight="12135"/>
  </bookViews>
  <sheets>
    <sheet name="Обзор" sheetId="1" r:id="rId1"/>
    <sheet name="Сырые попытки" sheetId="2" r:id="rId2"/>
    <sheet name="Ответы по вопросам" sheetId="3" r:id="rId3"/>
    <sheet name="Сводка студента" sheetId="4" r:id="rId4"/>
    <sheet name="Сводка университета" sheetId="5" r:id="rId5"/>
    <sheet name="Восстановл_Лист1" sheetId="6" r:id="rId6"/>
  </sheets>
  <calcPr calcId="152511"/>
  <fileRecoveryPr repairLoad="1"/>
</workbook>
</file>

<file path=xl/calcChain.xml><?xml version="1.0" encoding="utf-8"?>
<calcChain xmlns="http://schemas.openxmlformats.org/spreadsheetml/2006/main">
  <c r="C5" i="6" l="1"/>
  <c r="B5" i="6"/>
  <c r="C4" i="6"/>
  <c r="B4" i="6"/>
  <c r="C14" i="5"/>
  <c r="B14" i="5"/>
  <c r="C13" i="5"/>
  <c r="B13" i="5"/>
  <c r="C12" i="5"/>
  <c r="B12" i="5"/>
  <c r="C11" i="5"/>
  <c r="B11" i="5"/>
  <c r="C7" i="5"/>
  <c r="B7" i="5"/>
  <c r="G6" i="5"/>
  <c r="F6" i="5"/>
  <c r="E6" i="5"/>
  <c r="C6" i="5"/>
  <c r="B6" i="5"/>
  <c r="G5" i="5"/>
  <c r="F5" i="5"/>
  <c r="E5" i="5"/>
  <c r="C5" i="5"/>
  <c r="B5" i="5"/>
  <c r="G4" i="5"/>
  <c r="F4" i="5"/>
  <c r="E4" i="5"/>
  <c r="F7" i="4"/>
  <c r="E7" i="4"/>
  <c r="F6" i="4"/>
  <c r="E6" i="4"/>
  <c r="F5" i="4"/>
  <c r="E5" i="4"/>
  <c r="F4" i="4"/>
  <c r="E4" i="4"/>
  <c r="H14" i="1"/>
  <c r="G14" i="1"/>
  <c r="H13" i="1"/>
  <c r="G13" i="1"/>
  <c r="C13" i="1"/>
  <c r="B13" i="1"/>
  <c r="H12" i="1"/>
  <c r="G12" i="1"/>
  <c r="C12" i="1"/>
  <c r="B12" i="1"/>
  <c r="H11" i="1"/>
  <c r="G11" i="1"/>
  <c r="C8" i="6"/>
  <c r="B8" i="6"/>
  <c r="H4" i="4"/>
  <c r="C11" i="1"/>
  <c r="G4" i="4"/>
  <c r="B11" i="1"/>
  <c r="H7" i="4"/>
  <c r="C7" i="6"/>
  <c r="B7" i="6"/>
  <c r="C4" i="5"/>
  <c r="B4" i="5"/>
  <c r="B6" i="6"/>
  <c r="C6" i="6"/>
  <c r="H6" i="4"/>
  <c r="G7" i="4"/>
  <c r="G6" i="4"/>
  <c r="H5" i="4"/>
  <c r="G5" i="4"/>
  <c r="C15" i="5" l="1"/>
  <c r="B15" i="5"/>
</calcChain>
</file>

<file path=xl/sharedStrings.xml><?xml version="1.0" encoding="utf-8"?>
<sst xmlns="http://schemas.openxmlformats.org/spreadsheetml/2006/main" count="297" uniqueCount="164">
  <si>
    <t>Moodle МАРГУ — аналитический отчет по тестированию</t>
  </si>
  <si>
    <t>Что содержит книга</t>
  </si>
  <si>
    <t>Справка по данным Moodle</t>
  </si>
  <si>
    <t>Лист</t>
  </si>
  <si>
    <t>Назначение</t>
  </si>
  <si>
    <t>Уровень</t>
  </si>
  <si>
    <t>Примечание</t>
  </si>
  <si>
    <t>Категория</t>
  </si>
  <si>
    <t>Что фиксируется</t>
  </si>
  <si>
    <t>Смысл</t>
  </si>
  <si>
    <t>Сырые попытки</t>
  </si>
  <si>
    <t>Все попытки студентов</t>
  </si>
  <si>
    <t>Университет</t>
  </si>
  <si>
    <t>Одна строка = одна попытка</t>
  </si>
  <si>
    <t>Попытка</t>
  </si>
  <si>
    <t>id, quiz, userid, attempt, timestart, timefinish, sumgrades</t>
  </si>
  <si>
    <t>Время, итог и идентификаторы</t>
  </si>
  <si>
    <t>Ответы по вопросам</t>
  </si>
  <si>
    <t>Детализация по вопросам</t>
  </si>
  <si>
    <t>Одна строка = один вопрос</t>
  </si>
  <si>
    <t>Тест</t>
  </si>
  <si>
    <t>course, name, intro, timeopen, timeclose, timelimit</t>
  </si>
  <si>
    <t>Настройки теста</t>
  </si>
  <si>
    <t>Сводка студента</t>
  </si>
  <si>
    <t>Агрегация по студенту</t>
  </si>
  <si>
    <t>Студент</t>
  </si>
  <si>
    <t>Пример по выбранному студенту</t>
  </si>
  <si>
    <t>Вопрос</t>
  </si>
  <si>
    <t>questionid, text, answer, fraction</t>
  </si>
  <si>
    <t>Ответы по каждому вопросу</t>
  </si>
  <si>
    <t>Сводка университета</t>
  </si>
  <si>
    <t>Общие KPI и распределения</t>
  </si>
  <si>
    <t>Формулы и диаграмма</t>
  </si>
  <si>
    <t>Логи</t>
  </si>
  <si>
    <t>timecreated, eventname, ip</t>
  </si>
  <si>
    <t>Поведение пользователя во время тестирования</t>
  </si>
  <si>
    <t>KPI</t>
  </si>
  <si>
    <t>Формула</t>
  </si>
  <si>
    <t>Значение</t>
  </si>
  <si>
    <t>Описание</t>
  </si>
  <si>
    <t>Распределение</t>
  </si>
  <si>
    <t>Студентов</t>
  </si>
  <si>
    <t>Уникальные студенты</t>
  </si>
  <si>
    <t>0–69%</t>
  </si>
  <si>
    <t>Попыток</t>
  </si>
  <si>
    <t>Всего попыток</t>
  </si>
  <si>
    <t>70–79%</t>
  </si>
  <si>
    <t>Средний процент</t>
  </si>
  <si>
    <t>Средний результат</t>
  </si>
  <si>
    <t>80–89%</t>
  </si>
  <si>
    <t>90–100%</t>
  </si>
  <si>
    <t>attempt_id</t>
  </si>
  <si>
    <t>student_id</t>
  </si>
  <si>
    <t>surname</t>
  </si>
  <si>
    <t>name</t>
  </si>
  <si>
    <t>faculty</t>
  </si>
  <si>
    <t>group</t>
  </si>
  <si>
    <t>course_id</t>
  </si>
  <si>
    <t>course_name</t>
  </si>
  <si>
    <t>quiz_id</t>
  </si>
  <si>
    <t>quiz_name</t>
  </si>
  <si>
    <t>attempt_no</t>
  </si>
  <si>
    <t>start_time</t>
  </si>
  <si>
    <t>finish_time</t>
  </si>
  <si>
    <t>duration_sec</t>
  </si>
  <si>
    <t>raw_score</t>
  </si>
  <si>
    <t>max_score</t>
  </si>
  <si>
    <t>percent</t>
  </si>
  <si>
    <t>result</t>
  </si>
  <si>
    <t>correct_answers</t>
  </si>
  <si>
    <t>Морозова</t>
  </si>
  <si>
    <t>Анна</t>
  </si>
  <si>
    <t>ФИТ</t>
  </si>
  <si>
    <t>ИКТ-21</t>
  </si>
  <si>
    <t>Информатика</t>
  </si>
  <si>
    <t>Основы Python</t>
  </si>
  <si>
    <t>Сдано</t>
  </si>
  <si>
    <t>Базы данных</t>
  </si>
  <si>
    <t>SQL и запросы</t>
  </si>
  <si>
    <t>Иванов</t>
  </si>
  <si>
    <t>Даниил</t>
  </si>
  <si>
    <t>ФИМ</t>
  </si>
  <si>
    <t>МАТ-22</t>
  </si>
  <si>
    <t>Математика</t>
  </si>
  <si>
    <t>Линейная алгебра</t>
  </si>
  <si>
    <t>Не сдано</t>
  </si>
  <si>
    <t>Смирнова</t>
  </si>
  <si>
    <t>Екатерина</t>
  </si>
  <si>
    <t>ИКТ-22</t>
  </si>
  <si>
    <t>Кузнецова</t>
  </si>
  <si>
    <t>Мария</t>
  </si>
  <si>
    <t>ИЭУ</t>
  </si>
  <si>
    <t>ЭК-23</t>
  </si>
  <si>
    <t>Экономика</t>
  </si>
  <si>
    <t>Макроэкономика</t>
  </si>
  <si>
    <t>Микроэкономика</t>
  </si>
  <si>
    <t>question_no</t>
  </si>
  <si>
    <t>question_text</t>
  </si>
  <si>
    <t>question_type</t>
  </si>
  <si>
    <t>student_answer</t>
  </si>
  <si>
    <t>correct_answer</t>
  </si>
  <si>
    <t>is_correct</t>
  </si>
  <si>
    <t>question_score</t>
  </si>
  <si>
    <t>Что делает функция print() в Python?</t>
  </si>
  <si>
    <t>multichoice</t>
  </si>
  <si>
    <t>Выводит текст на экран</t>
  </si>
  <si>
    <t>Какой оператор используется для сравнения в Python?</t>
  </si>
  <si>
    <t>Как создать список в Python?</t>
  </si>
  <si>
    <t>[1, 2, 3]</t>
  </si>
  <si>
    <t>Что возвращает SELECT COUNT(*)?</t>
  </si>
  <si>
    <t>Количество строк</t>
  </si>
  <si>
    <t>Какая команда выбирает все поля?</t>
  </si>
  <si>
    <t>SELECT *</t>
  </si>
  <si>
    <t>Что такое матрица?</t>
  </si>
  <si>
    <t>Таблица чисел</t>
  </si>
  <si>
    <t>Что показывает определитель?</t>
  </si>
  <si>
    <t>Свойства матрицы</t>
  </si>
  <si>
    <t>Что такое векторное пространство?</t>
  </si>
  <si>
    <t>Набор векторов</t>
  </si>
  <si>
    <t>Как объявить переменную в Python?</t>
  </si>
  <si>
    <t>x = 5</t>
  </si>
  <si>
    <t>Что такое список?</t>
  </si>
  <si>
    <t>Изменяемая последовательность</t>
  </si>
  <si>
    <t>Что такое внешний ключ?</t>
  </si>
  <si>
    <t>Связь между таблицами</t>
  </si>
  <si>
    <t>Что делает JOIN?</t>
  </si>
  <si>
    <t>Объединяет таблицы</t>
  </si>
  <si>
    <t>Что изучает макроэкономика?</t>
  </si>
  <si>
    <t>Экономику в целом</t>
  </si>
  <si>
    <t>Что такое эластичность спроса?</t>
  </si>
  <si>
    <t>Чувствительность спроса</t>
  </si>
  <si>
    <t>Сводка по студентам</t>
  </si>
  <si>
    <t>ФИО</t>
  </si>
  <si>
    <t>Факультет</t>
  </si>
  <si>
    <t>Группа</t>
  </si>
  <si>
    <t>Средний %</t>
  </si>
  <si>
    <t>Лучший %</t>
  </si>
  <si>
    <t>Последняя попытка</t>
  </si>
  <si>
    <t>Морозова Анна</t>
  </si>
  <si>
    <t>Иванов Даниил</t>
  </si>
  <si>
    <t>Смирнова Екатерина</t>
  </si>
  <si>
    <t>Кузнецова Мария</t>
  </si>
  <si>
    <t>Сводка уровня университета</t>
  </si>
  <si>
    <t>avg_percent</t>
  </si>
  <si>
    <t>attempts</t>
  </si>
  <si>
    <t>passed</t>
  </si>
  <si>
    <t>Доля сдавших</t>
  </si>
  <si>
    <t>Процент успешных попыток</t>
  </si>
  <si>
    <t>Диапазон</t>
  </si>
  <si>
    <t>Всего</t>
  </si>
  <si>
    <t>Индивидуальный отчет: Морозова Анна (student_id 1001)</t>
  </si>
  <si>
    <t>Показатель</t>
  </si>
  <si>
    <t>Комментарий</t>
  </si>
  <si>
    <t>Все попытки студентки</t>
  </si>
  <si>
    <t>Лучшая попытка</t>
  </si>
  <si>
    <t>Максимальный процент</t>
  </si>
  <si>
    <t>Дата последней попытки</t>
  </si>
  <si>
    <t>Последнее завершение</t>
  </si>
  <si>
    <t>Последний курс</t>
  </si>
  <si>
    <t>Курс последней попытки</t>
  </si>
  <si>
    <t>Дата</t>
  </si>
  <si>
    <t>Курс</t>
  </si>
  <si>
    <t>Результат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</si>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</sst>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yyyy\-mm\-dd\ hh:mm"/>
  </numFmts>
  <fonts count="6">
    <font>
      <sz val="11"/>
      <name val="Carlito"/>
    </font>
    <font>
      <b/>
      <sz val="14"/>
      <name val="Carlito"/>
    </font>
    <font>
      <b/>
      <sz val="11"/>
      <name val="Carlito"/>
    </font>
    <font>
      <b/>
      <sz val="10"/>
      <name val="Carlito"/>
    </font>
    <font>
      <sz val="10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3F6FA"/>
      </patternFill>
    </fill>
    <fill>
      <patternFill patternType="solid">
        <fgColor rgb="FFD9EAF7"/>
      </patternFill>
    </fill>
  </fills>
  <borders count="15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4" fillId="4" borderId="1" xfId="1" applyNumberFormat="1" applyFont="1" applyFill="1" applyBorder="1" applyAlignment="1">
      <alignment horizontal="left" vertical="center" wrapText="1"/>
    </xf>
    <xf numFmtId="0" fontId="4" fillId="4" borderId="2" xfId="1" applyNumberFormat="1" applyFont="1" applyFill="1" applyBorder="1" applyAlignment="1">
      <alignment horizontal="left" vertical="center" wrapText="1"/>
    </xf>
    <xf numFmtId="0" fontId="4" fillId="4" borderId="3" xfId="1" applyNumberFormat="1" applyFont="1" applyFill="1" applyBorder="1" applyAlignment="1">
      <alignment horizontal="left" vertical="center" wrapText="1"/>
    </xf>
    <xf numFmtId="0" fontId="4" fillId="0" borderId="4" xfId="1" applyNumberFormat="1" applyFont="1" applyFill="1" applyBorder="1" applyAlignment="1">
      <alignment horizontal="left" vertical="center" wrapText="1"/>
    </xf>
    <xf numFmtId="0" fontId="4" fillId="0" borderId="0" xfId="1" applyNumberFormat="1" applyFont="1" applyFill="1" applyBorder="1" applyAlignment="1">
      <alignment horizontal="left" vertical="center" wrapText="1"/>
    </xf>
    <xf numFmtId="0" fontId="4" fillId="0" borderId="5" xfId="1" applyNumberFormat="1" applyFont="1" applyFill="1" applyBorder="1" applyAlignment="1">
      <alignment horizontal="left" vertical="center" wrapText="1"/>
    </xf>
    <xf numFmtId="0" fontId="4" fillId="0" borderId="6" xfId="1" applyNumberFormat="1" applyFont="1" applyFill="1" applyBorder="1" applyAlignment="1">
      <alignment horizontal="left" vertical="center" wrapText="1"/>
    </xf>
    <xf numFmtId="0" fontId="4" fillId="0" borderId="7" xfId="1" applyNumberFormat="1" applyFont="1" applyFill="1" applyBorder="1" applyAlignment="1">
      <alignment horizontal="left" vertical="center" wrapText="1"/>
    </xf>
    <xf numFmtId="0" fontId="4" fillId="0" borderId="8" xfId="1" applyNumberFormat="1" applyFont="1" applyFill="1" applyBorder="1" applyAlignment="1">
      <alignment horizontal="left" vertical="center" wrapText="1"/>
    </xf>
    <xf numFmtId="164" fontId="4" fillId="0" borderId="0" xfId="1" applyNumberFormat="1" applyFont="1" applyFill="1" applyBorder="1" applyAlignment="1">
      <alignment horizontal="left" vertical="center" wrapText="1"/>
    </xf>
    <xf numFmtId="164" fontId="4" fillId="0" borderId="7" xfId="1" applyNumberFormat="1" applyFont="1" applyFill="1" applyBorder="1" applyAlignment="1">
      <alignment horizontal="left" vertical="center" wrapText="1"/>
    </xf>
    <xf numFmtId="0" fontId="4" fillId="0" borderId="10" xfId="1" applyNumberFormat="1" applyFont="1" applyFill="1" applyBorder="1" applyAlignment="1">
      <alignment horizontal="left" vertical="center" wrapText="1"/>
    </xf>
    <xf numFmtId="1" fontId="4" fillId="0" borderId="9" xfId="1" applyNumberFormat="1" applyFont="1" applyFill="1" applyBorder="1" applyAlignment="1">
      <alignment horizontal="left" vertical="center" wrapText="1"/>
    </xf>
    <xf numFmtId="1" fontId="4" fillId="0" borderId="10" xfId="1" applyNumberFormat="1" applyFont="1" applyFill="1" applyBorder="1" applyAlignment="1">
      <alignment horizontal="left" vertical="center" wrapText="1"/>
    </xf>
    <xf numFmtId="1" fontId="4" fillId="0" borderId="4" xfId="1" applyNumberFormat="1" applyFont="1" applyFill="1" applyBorder="1" applyAlignment="1">
      <alignment horizontal="left" vertical="center" wrapText="1"/>
    </xf>
    <xf numFmtId="1" fontId="4" fillId="0" borderId="0" xfId="1" applyNumberFormat="1" applyFont="1" applyFill="1" applyBorder="1" applyAlignment="1">
      <alignment horizontal="left" vertical="center" wrapText="1"/>
    </xf>
    <xf numFmtId="1" fontId="4" fillId="0" borderId="6" xfId="1" applyNumberFormat="1" applyFont="1" applyFill="1" applyBorder="1" applyAlignment="1">
      <alignment horizontal="left" vertical="center" wrapText="1"/>
    </xf>
    <xf numFmtId="1" fontId="4" fillId="0" borderId="7" xfId="1" applyNumberFormat="1" applyFont="1" applyFill="1" applyBorder="1" applyAlignment="1">
      <alignment horizontal="left" vertical="center" wrapText="1"/>
    </xf>
    <xf numFmtId="165" fontId="4" fillId="0" borderId="10" xfId="1" applyNumberFormat="1" applyFont="1" applyFill="1" applyBorder="1" applyAlignment="1">
      <alignment horizontal="left" vertical="center" wrapText="1"/>
    </xf>
    <xf numFmtId="165" fontId="4" fillId="0" borderId="0" xfId="1" applyNumberFormat="1" applyFont="1" applyFill="1" applyBorder="1" applyAlignment="1">
      <alignment horizontal="left" vertical="center" wrapText="1"/>
    </xf>
    <xf numFmtId="165" fontId="4" fillId="0" borderId="7" xfId="1" applyNumberFormat="1" applyFont="1" applyFill="1" applyBorder="1" applyAlignment="1">
      <alignment horizontal="left" vertical="center" wrapText="1"/>
    </xf>
    <xf numFmtId="164" fontId="4" fillId="0" borderId="10" xfId="1" applyNumberFormat="1" applyFont="1" applyFill="1" applyBorder="1" applyAlignment="1">
      <alignment horizontal="left" vertical="center" wrapText="1"/>
    </xf>
    <xf numFmtId="1" fontId="4" fillId="0" borderId="11" xfId="1" applyNumberFormat="1" applyFont="1" applyFill="1" applyBorder="1" applyAlignment="1">
      <alignment horizontal="left" vertical="center" wrapText="1"/>
    </xf>
    <xf numFmtId="1" fontId="4" fillId="0" borderId="5" xfId="1" applyNumberFormat="1" applyFont="1" applyFill="1" applyBorder="1" applyAlignment="1">
      <alignment horizontal="left" vertical="center" wrapText="1"/>
    </xf>
    <xf numFmtId="1" fontId="4" fillId="0" borderId="8" xfId="1" applyNumberFormat="1" applyFont="1" applyFill="1" applyBorder="1" applyAlignment="1">
      <alignment horizontal="left" vertical="center" wrapText="1"/>
    </xf>
    <xf numFmtId="165" fontId="4" fillId="0" borderId="5" xfId="1" applyNumberFormat="1" applyFont="1" applyFill="1" applyBorder="1" applyAlignment="1">
      <alignment horizontal="left" vertical="center" wrapText="1"/>
    </xf>
    <xf numFmtId="165" fontId="4" fillId="0" borderId="8" xfId="1" applyNumberFormat="1" applyFont="1" applyFill="1" applyBorder="1" applyAlignment="1">
      <alignment horizontal="left" vertical="center" wrapText="1"/>
    </xf>
    <xf numFmtId="0" fontId="4" fillId="0" borderId="13" xfId="1" applyNumberFormat="1" applyFont="1" applyFill="1" applyBorder="1" applyAlignment="1">
      <alignment horizontal="left" vertical="center" wrapText="1"/>
    </xf>
    <xf numFmtId="0" fontId="4" fillId="0" borderId="14" xfId="1" applyNumberFormat="1" applyFont="1" applyFill="1" applyBorder="1" applyAlignment="1">
      <alignment horizontal="left" vertical="center" wrapText="1"/>
    </xf>
    <xf numFmtId="0" fontId="4" fillId="4" borderId="12" xfId="1" applyNumberFormat="1" applyFont="1" applyFill="1" applyBorder="1" applyAlignment="1">
      <alignment horizontal="left" vertical="center" wrapText="1"/>
    </xf>
    <xf numFmtId="165" fontId="4" fillId="0" borderId="4" xfId="1" applyNumberFormat="1" applyFont="1" applyFill="1" applyBorder="1" applyAlignment="1">
      <alignment horizontal="left" vertical="center" wrapText="1"/>
    </xf>
    <xf numFmtId="165" fontId="4" fillId="0" borderId="6" xfId="1" applyNumberFormat="1" applyFont="1" applyFill="1" applyBorder="1" applyAlignment="1">
      <alignment horizontal="left" vertical="center" wrapText="1"/>
    </xf>
    <xf numFmtId="164" fontId="4" fillId="0" borderId="5" xfId="1" applyNumberFormat="1" applyFont="1" applyFill="1" applyBorder="1" applyAlignment="1">
      <alignment horizontal="left" vertical="center" wrapText="1"/>
    </xf>
    <xf numFmtId="164" fontId="4" fillId="0" borderId="8" xfId="1" applyNumberFormat="1" applyFont="1" applyFill="1" applyBorder="1" applyAlignment="1">
      <alignment horizontal="left" vertical="center" wrapText="1"/>
    </xf>
    <xf numFmtId="0" fontId="4" fillId="0" borderId="7" xfId="1" applyNumberFormat="1" applyFont="1" applyFill="1" applyBorder="1" applyAlignment="1">
      <alignment horizontal="left" vertical="center" wrapText="1"/>
    </xf>
    <xf numFmtId="0" fontId="1" fillId="2" borderId="1" xfId="1" applyNumberFormat="1" applyFont="1" applyFill="1" applyBorder="1" applyAlignment="1">
      <alignment horizontal="left" vertical="center" wrapText="1"/>
    </xf>
    <xf numFmtId="0" fontId="1" fillId="2" borderId="2" xfId="1" applyNumberFormat="1" applyFont="1" applyFill="1" applyBorder="1" applyAlignment="1">
      <alignment horizontal="left" vertical="center" wrapText="1"/>
    </xf>
    <xf numFmtId="0" fontId="1" fillId="2" borderId="3" xfId="1" applyNumberFormat="1" applyFont="1" applyFill="1" applyBorder="1" applyAlignment="1">
      <alignment horizontal="left" vertical="center" wrapText="1"/>
    </xf>
    <xf numFmtId="0" fontId="2" fillId="3" borderId="1" xfId="1" applyNumberFormat="1" applyFont="1" applyFill="1" applyBorder="1" applyAlignment="1">
      <alignment horizontal="left" vertical="center" wrapText="1"/>
    </xf>
    <xf numFmtId="0" fontId="2" fillId="3" borderId="2" xfId="1" applyNumberFormat="1" applyFont="1" applyFill="1" applyBorder="1" applyAlignment="1">
      <alignment horizontal="left" vertical="center" wrapText="1"/>
    </xf>
    <xf numFmtId="0" fontId="2" fillId="3" borderId="3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1" applyNumberFormat="1" applyFont="1" applyFill="1" applyBorder="1" applyAlignment="1">
      <alignment horizontal="left" vertical="center" wrapText="1"/>
    </xf>
    <xf numFmtId="0" fontId="4" fillId="0" borderId="2" xfId="1" applyNumberFormat="1" applyFont="1" applyFill="1" applyBorder="1" applyAlignment="1">
      <alignment horizontal="left" vertical="center" wrapText="1"/>
    </xf>
    <xf numFmtId="0" fontId="4" fillId="0" borderId="3" xfId="1" applyNumberFormat="1" applyFont="1" applyFill="1" applyBorder="1" applyAlignment="1">
      <alignment horizontal="left" vertical="center" wrapText="1"/>
    </xf>
  </cellXfs>
  <cellStyles count="2">
    <cellStyle name="Normal" xfId="1"/>
    <cellStyle name="Обычный" xfId="0" builtinId="0"/>
  </cellStyles>
  <dxfs count="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9" headerRowDxfId="2">
  <tableColumns count="19">
    <tableColumn id="1" name="attempt_id"/>
    <tableColumn id="2" name="student_id"/>
    <tableColumn id="3" name="surname"/>
    <tableColumn id="4" name="name"/>
    <tableColumn id="6" name="faculty"/>
    <tableColumn id="7" name="group"/>
    <tableColumn id="8" name="course_id"/>
    <tableColumn id="9" name="course_name"/>
    <tableColumn id="10" name="quiz_id"/>
    <tableColumn id="11" name="quiz_name"/>
    <tableColumn id="12" name="attempt_no"/>
    <tableColumn id="13" name="start_time"/>
    <tableColumn id="14" name="finish_time"/>
    <tableColumn id="15" name="duration_sec"/>
    <tableColumn id="16" name="raw_score"/>
    <tableColumn id="17" name="max_score"/>
    <tableColumn id="18" name="percent"/>
    <tableColumn id="19" name="result"/>
    <tableColumn id="20" name="correct_answer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_1" ref="A1:H15" headerRowDxfId="1">
  <tableColumns count="8">
    <tableColumn id="1" name="attempt_id"/>
    <tableColumn id="2" name="question_no"/>
    <tableColumn id="3" name="question_text"/>
    <tableColumn id="4" name="question_type"/>
    <tableColumn id="5" name="student_answer"/>
    <tableColumn id="6" name="correct_answer"/>
    <tableColumn id="7" name="is_correct"/>
    <tableColumn id="8" name="question_scor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_2" ref="A3:H7" headerRowDxfId="0">
  <tableColumns count="8">
    <tableColumn id="1" name="student_id"/>
    <tableColumn id="2" name="ФИО"/>
    <tableColumn id="3" name="Факультет"/>
    <tableColumn id="4" name="Группа"/>
    <tableColumn id="5" name="Попыток"/>
    <tableColumn id="6" name="Средний %"/>
    <tableColumn id="7" name="Лучший %"/>
    <tableColumn id="8" name="Последняя попытк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K2" sqref="K2"/>
    </sheetView>
  </sheetViews>
  <sheetFormatPr defaultRowHeight="14.25"/>
  <cols>
    <col min="1" max="1" width="18" customWidth="1"/>
    <col min="2" max="2" width="24" customWidth="1"/>
    <col min="3" max="3" width="14" customWidth="1"/>
    <col min="4" max="4" width="26" customWidth="1"/>
    <col min="6" max="6" width="18" customWidth="1"/>
    <col min="7" max="7" width="24" customWidth="1"/>
    <col min="8" max="8" width="16" customWidth="1"/>
  </cols>
  <sheetData>
    <row r="1" spans="1:8" ht="187.9" customHeight="1">
      <c r="A1" s="36" t="s">
        <v>0</v>
      </c>
      <c r="B1" s="37" t="s">
        <v>0</v>
      </c>
      <c r="C1" s="37" t="s">
        <v>0</v>
      </c>
      <c r="D1" s="37" t="s">
        <v>0</v>
      </c>
      <c r="E1" s="37" t="s">
        <v>0</v>
      </c>
      <c r="F1" s="37" t="s">
        <v>0</v>
      </c>
      <c r="G1" s="37" t="s">
        <v>0</v>
      </c>
      <c r="H1" s="38" t="s">
        <v>0</v>
      </c>
    </row>
    <row r="3" spans="1:8" ht="26.85" customHeight="1">
      <c r="A3" s="39" t="s">
        <v>1</v>
      </c>
      <c r="B3" s="40" t="s">
        <v>1</v>
      </c>
      <c r="C3" s="40" t="s">
        <v>1</v>
      </c>
      <c r="D3" s="41" t="s">
        <v>1</v>
      </c>
      <c r="F3" s="39" t="s">
        <v>2</v>
      </c>
      <c r="G3" s="40" t="s">
        <v>2</v>
      </c>
      <c r="H3" s="41" t="s">
        <v>2</v>
      </c>
    </row>
    <row r="4" spans="1:8" ht="15" customHeight="1">
      <c r="A4" s="1" t="s">
        <v>3</v>
      </c>
      <c r="B4" s="2" t="s">
        <v>4</v>
      </c>
      <c r="C4" s="2" t="s">
        <v>5</v>
      </c>
      <c r="D4" s="3" t="s">
        <v>6</v>
      </c>
      <c r="F4" s="1" t="s">
        <v>7</v>
      </c>
      <c r="G4" s="2" t="s">
        <v>8</v>
      </c>
      <c r="H4" s="3" t="s">
        <v>9</v>
      </c>
    </row>
    <row r="5" spans="1:8" ht="36.6" customHeight="1">
      <c r="A5" s="4" t="s">
        <v>10</v>
      </c>
      <c r="B5" s="5" t="s">
        <v>11</v>
      </c>
      <c r="C5" s="5" t="s">
        <v>12</v>
      </c>
      <c r="D5" s="6" t="s">
        <v>13</v>
      </c>
      <c r="F5" s="4" t="s">
        <v>14</v>
      </c>
      <c r="G5" s="5" t="s">
        <v>15</v>
      </c>
      <c r="H5" s="6" t="s">
        <v>16</v>
      </c>
    </row>
    <row r="6" spans="1:8" ht="24.4" customHeight="1">
      <c r="A6" s="4" t="s">
        <v>17</v>
      </c>
      <c r="B6" s="5" t="s">
        <v>18</v>
      </c>
      <c r="C6" s="5" t="s">
        <v>12</v>
      </c>
      <c r="D6" s="6" t="s">
        <v>19</v>
      </c>
      <c r="F6" s="4" t="s">
        <v>20</v>
      </c>
      <c r="G6" s="5" t="s">
        <v>21</v>
      </c>
      <c r="H6" s="6" t="s">
        <v>22</v>
      </c>
    </row>
    <row r="7" spans="1:8" ht="24.4" customHeight="1">
      <c r="A7" s="4" t="s">
        <v>23</v>
      </c>
      <c r="B7" s="5" t="s">
        <v>24</v>
      </c>
      <c r="C7" s="5" t="s">
        <v>25</v>
      </c>
      <c r="D7" s="6" t="s">
        <v>26</v>
      </c>
      <c r="F7" s="4" t="s">
        <v>27</v>
      </c>
      <c r="G7" s="5" t="s">
        <v>28</v>
      </c>
      <c r="H7" s="6" t="s">
        <v>29</v>
      </c>
    </row>
    <row r="8" spans="1:8" ht="48.75" customHeight="1">
      <c r="A8" s="7" t="s">
        <v>30</v>
      </c>
      <c r="B8" s="8" t="s">
        <v>31</v>
      </c>
      <c r="C8" s="8" t="s">
        <v>12</v>
      </c>
      <c r="D8" s="9" t="s">
        <v>32</v>
      </c>
      <c r="F8" s="7" t="s">
        <v>33</v>
      </c>
      <c r="G8" s="8" t="s">
        <v>34</v>
      </c>
      <c r="H8" s="9" t="s">
        <v>35</v>
      </c>
    </row>
    <row r="10" spans="1:8" ht="15" customHeight="1">
      <c r="A10" s="1" t="s">
        <v>36</v>
      </c>
      <c r="B10" s="2" t="s">
        <v>37</v>
      </c>
      <c r="C10" s="2" t="s">
        <v>38</v>
      </c>
      <c r="D10" s="3" t="s">
        <v>39</v>
      </c>
      <c r="F10" s="1" t="s">
        <v>40</v>
      </c>
      <c r="G10" s="2" t="s">
        <v>37</v>
      </c>
      <c r="H10" s="3" t="s">
        <v>38</v>
      </c>
    </row>
    <row r="11" spans="1:8" ht="15" customHeight="1">
      <c r="A11" s="4" t="s">
        <v>41</v>
      </c>
      <c r="B11" s="5">
        <f ca="1">COUNTA(UNIQUE('Сырые попытки'!B2:B9))</f>
        <v>1</v>
      </c>
      <c r="C11" s="10">
        <f ca="1">COUNTA(UNIQUE('Сырые попытки'!B2:B9))</f>
        <v>1</v>
      </c>
      <c r="D11" s="6" t="s">
        <v>42</v>
      </c>
      <c r="F11" s="4" t="s">
        <v>43</v>
      </c>
      <c r="G11" s="5">
        <f>COUNTIFS('Сырые попытки'!Q2:Q9,"&gt;=0",'Сырые попытки'!Q2:Q9,"&lt;70")</f>
        <v>2</v>
      </c>
      <c r="H11" s="6">
        <f>COUNTIFS('Сырые попытки'!Q2:Q9,"&gt;=0",'Сырые попытки'!Q2:Q9,"&lt;70")</f>
        <v>2</v>
      </c>
    </row>
    <row r="12" spans="1:8" ht="15" customHeight="1">
      <c r="A12" s="4" t="s">
        <v>44</v>
      </c>
      <c r="B12" s="5">
        <f>COUNTA('Сырые попытки'!A2:A9)</f>
        <v>8</v>
      </c>
      <c r="C12" s="10">
        <f>COUNTA('Сырые попытки'!A2:A9)</f>
        <v>8</v>
      </c>
      <c r="D12" s="6" t="s">
        <v>45</v>
      </c>
      <c r="F12" s="4" t="s">
        <v>46</v>
      </c>
      <c r="G12" s="5">
        <f>COUNTIFS('Сырые попытки'!Q2:Q9,"&gt;=70",'Сырые попытки'!Q2:Q9,"&lt;80")</f>
        <v>2</v>
      </c>
      <c r="H12" s="6">
        <f>COUNTIFS('Сырые попытки'!Q2:Q9,"&gt;=70",'Сырые попытки'!Q2:Q9,"&lt;80")</f>
        <v>2</v>
      </c>
    </row>
    <row r="13" spans="1:8" ht="15" customHeight="1">
      <c r="A13" s="7" t="s">
        <v>47</v>
      </c>
      <c r="B13" s="8">
        <f>AVERAGE('Сырые попытки'!Q2:Q9)</f>
        <v>78.625</v>
      </c>
      <c r="C13" s="11">
        <f>AVERAGE('Сырые попытки'!Q2:Q9)</f>
        <v>78.625</v>
      </c>
      <c r="D13" s="9" t="s">
        <v>48</v>
      </c>
      <c r="F13" s="4" t="s">
        <v>49</v>
      </c>
      <c r="G13" s="5">
        <f>COUNTIFS('Сырые попытки'!Q2:Q9,"&gt;=80",'Сырые попытки'!Q2:Q9,"&lt;90")</f>
        <v>3</v>
      </c>
      <c r="H13" s="6">
        <f>COUNTIFS('Сырые попытки'!Q2:Q9,"&gt;=80",'Сырые попытки'!Q2:Q9,"&lt;90")</f>
        <v>3</v>
      </c>
    </row>
    <row r="14" spans="1:8" ht="15" customHeight="1">
      <c r="F14" s="7" t="s">
        <v>50</v>
      </c>
      <c r="G14" s="8">
        <f>COUNTIFS('Сырые попытки'!Q2:Q9,"&gt;=90")</f>
        <v>1</v>
      </c>
      <c r="H14" s="9">
        <f>COUNTIFS('Сырые попытки'!Q2:Q9,"&gt;=90")</f>
        <v>1</v>
      </c>
    </row>
  </sheetData>
  <mergeCells count="3">
    <mergeCell ref="A1:H1"/>
    <mergeCell ref="A3:D3"/>
    <mergeCell ref="F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selection activeCell="N1" sqref="N1"/>
    </sheetView>
  </sheetViews>
  <sheetFormatPr defaultRowHeight="14.25"/>
  <cols>
    <col min="1" max="2" width="10" customWidth="1"/>
    <col min="3" max="3" width="14" customWidth="1"/>
    <col min="4" max="4" width="12" customWidth="1"/>
    <col min="5" max="7" width="10" customWidth="1"/>
    <col min="8" max="8" width="16" customWidth="1"/>
    <col min="9" max="9" width="10" customWidth="1"/>
    <col min="10" max="10" width="18" customWidth="1"/>
    <col min="11" max="11" width="10" customWidth="1"/>
    <col min="12" max="13" width="20" customWidth="1"/>
    <col min="14" max="14" width="11" bestFit="1" customWidth="1"/>
    <col min="15" max="17" width="10" customWidth="1"/>
    <col min="18" max="18" width="12" customWidth="1"/>
    <col min="19" max="19" width="14" customWidth="1"/>
  </cols>
  <sheetData>
    <row r="1" spans="1:19" s="45" customFormat="1" ht="15" customHeight="1">
      <c r="A1" s="42" t="s">
        <v>51</v>
      </c>
      <c r="B1" s="43" t="s">
        <v>52</v>
      </c>
      <c r="C1" s="43" t="s">
        <v>53</v>
      </c>
      <c r="D1" s="43" t="s">
        <v>54</v>
      </c>
      <c r="E1" s="43" t="s">
        <v>55</v>
      </c>
      <c r="F1" s="43" t="s">
        <v>56</v>
      </c>
      <c r="G1" s="43" t="s">
        <v>57</v>
      </c>
      <c r="H1" s="43" t="s">
        <v>58</v>
      </c>
      <c r="I1" s="43" t="s">
        <v>59</v>
      </c>
      <c r="J1" s="43" t="s">
        <v>60</v>
      </c>
      <c r="K1" s="43" t="s">
        <v>61</v>
      </c>
      <c r="L1" s="43" t="s">
        <v>62</v>
      </c>
      <c r="M1" s="43" t="s">
        <v>63</v>
      </c>
      <c r="N1" s="43" t="s">
        <v>64</v>
      </c>
      <c r="O1" s="43" t="s">
        <v>65</v>
      </c>
      <c r="P1" s="43" t="s">
        <v>66</v>
      </c>
      <c r="Q1" s="43" t="s">
        <v>67</v>
      </c>
      <c r="R1" s="43" t="s">
        <v>68</v>
      </c>
      <c r="S1" s="43" t="s">
        <v>69</v>
      </c>
    </row>
    <row r="2" spans="1:19" s="45" customFormat="1" ht="24.4" customHeight="1">
      <c r="A2" s="13">
        <v>1001</v>
      </c>
      <c r="B2" s="14">
        <v>1001</v>
      </c>
      <c r="C2" s="12" t="s">
        <v>70</v>
      </c>
      <c r="D2" s="12" t="s">
        <v>71</v>
      </c>
      <c r="E2" s="12" t="s">
        <v>72</v>
      </c>
      <c r="F2" s="12" t="s">
        <v>73</v>
      </c>
      <c r="G2" s="14">
        <v>301</v>
      </c>
      <c r="H2" s="14" t="s">
        <v>74</v>
      </c>
      <c r="I2" s="14">
        <v>501</v>
      </c>
      <c r="J2" s="14" t="s">
        <v>75</v>
      </c>
      <c r="K2" s="14">
        <v>1</v>
      </c>
      <c r="L2" s="19">
        <v>46113.375</v>
      </c>
      <c r="M2" s="19">
        <v>46113.381249999999</v>
      </c>
      <c r="N2" s="14">
        <v>540</v>
      </c>
      <c r="O2" s="14">
        <v>84</v>
      </c>
      <c r="P2" s="14">
        <v>100</v>
      </c>
      <c r="Q2" s="22">
        <v>84</v>
      </c>
      <c r="R2" s="12" t="s">
        <v>76</v>
      </c>
      <c r="S2" s="12">
        <v>2</v>
      </c>
    </row>
    <row r="3" spans="1:19" ht="24.4" customHeight="1">
      <c r="A3" s="15">
        <v>1002</v>
      </c>
      <c r="B3" s="16">
        <v>1001</v>
      </c>
      <c r="C3" s="5" t="s">
        <v>70</v>
      </c>
      <c r="D3" s="5" t="s">
        <v>71</v>
      </c>
      <c r="E3" s="5" t="s">
        <v>72</v>
      </c>
      <c r="F3" s="5" t="s">
        <v>73</v>
      </c>
      <c r="G3" s="16">
        <v>302</v>
      </c>
      <c r="H3" s="16" t="s">
        <v>77</v>
      </c>
      <c r="I3" s="16">
        <v>502</v>
      </c>
      <c r="J3" s="16" t="s">
        <v>78</v>
      </c>
      <c r="K3" s="16">
        <v>1</v>
      </c>
      <c r="L3" s="20">
        <v>46114.375</v>
      </c>
      <c r="M3" s="20">
        <v>46114.383333333331</v>
      </c>
      <c r="N3" s="16">
        <v>720</v>
      </c>
      <c r="O3" s="16">
        <v>77</v>
      </c>
      <c r="P3" s="16">
        <v>100</v>
      </c>
      <c r="Q3" s="10">
        <v>77</v>
      </c>
      <c r="R3" s="5" t="s">
        <v>76</v>
      </c>
      <c r="S3" s="5">
        <v>1</v>
      </c>
    </row>
    <row r="4" spans="1:19" ht="15" customHeight="1">
      <c r="A4" s="15">
        <v>1003</v>
      </c>
      <c r="B4" s="16">
        <v>1002</v>
      </c>
      <c r="C4" s="5" t="s">
        <v>79</v>
      </c>
      <c r="D4" s="5" t="s">
        <v>80</v>
      </c>
      <c r="E4" s="5" t="s">
        <v>81</v>
      </c>
      <c r="F4" s="5" t="s">
        <v>82</v>
      </c>
      <c r="G4" s="16">
        <v>303</v>
      </c>
      <c r="H4" s="16" t="s">
        <v>83</v>
      </c>
      <c r="I4" s="16">
        <v>503</v>
      </c>
      <c r="J4" s="16" t="s">
        <v>84</v>
      </c>
      <c r="K4" s="16">
        <v>1</v>
      </c>
      <c r="L4" s="20">
        <v>46114.416666666664</v>
      </c>
      <c r="M4" s="20">
        <v>46114.42083333333</v>
      </c>
      <c r="N4" s="16">
        <v>360</v>
      </c>
      <c r="O4" s="16">
        <v>69</v>
      </c>
      <c r="P4" s="16">
        <v>100</v>
      </c>
      <c r="Q4" s="10">
        <v>69</v>
      </c>
      <c r="R4" s="5" t="s">
        <v>85</v>
      </c>
      <c r="S4" s="5">
        <v>0</v>
      </c>
    </row>
    <row r="5" spans="1:19" ht="15" customHeight="1">
      <c r="A5" s="15">
        <v>1004</v>
      </c>
      <c r="B5" s="16">
        <v>1002</v>
      </c>
      <c r="C5" s="5" t="s">
        <v>79</v>
      </c>
      <c r="D5" s="5" t="s">
        <v>80</v>
      </c>
      <c r="E5" s="5" t="s">
        <v>81</v>
      </c>
      <c r="F5" s="5" t="s">
        <v>82</v>
      </c>
      <c r="G5" s="16">
        <v>304</v>
      </c>
      <c r="H5" s="16" t="s">
        <v>83</v>
      </c>
      <c r="I5" s="16">
        <v>503</v>
      </c>
      <c r="J5" s="16" t="s">
        <v>84</v>
      </c>
      <c r="K5" s="16">
        <v>2</v>
      </c>
      <c r="L5" s="20">
        <v>46116.375</v>
      </c>
      <c r="M5" s="20">
        <v>46116.380555555559</v>
      </c>
      <c r="N5" s="16">
        <v>480</v>
      </c>
      <c r="O5" s="16">
        <v>88</v>
      </c>
      <c r="P5" s="16">
        <v>100</v>
      </c>
      <c r="Q5" s="10">
        <v>88</v>
      </c>
      <c r="R5" s="5" t="s">
        <v>76</v>
      </c>
      <c r="S5" s="5">
        <v>2</v>
      </c>
    </row>
    <row r="6" spans="1:19" ht="15" customHeight="1">
      <c r="A6" s="15">
        <v>1005</v>
      </c>
      <c r="B6" s="16">
        <v>1003</v>
      </c>
      <c r="C6" s="5" t="s">
        <v>86</v>
      </c>
      <c r="D6" s="5" t="s">
        <v>87</v>
      </c>
      <c r="E6" s="5" t="s">
        <v>72</v>
      </c>
      <c r="F6" s="5" t="s">
        <v>88</v>
      </c>
      <c r="G6" s="16">
        <v>301</v>
      </c>
      <c r="H6" s="16" t="s">
        <v>74</v>
      </c>
      <c r="I6" s="16">
        <v>501</v>
      </c>
      <c r="J6" s="16" t="s">
        <v>75</v>
      </c>
      <c r="K6" s="16">
        <v>1</v>
      </c>
      <c r="L6" s="20">
        <v>46115.375</v>
      </c>
      <c r="M6" s="20">
        <v>46115.382638888892</v>
      </c>
      <c r="N6" s="16">
        <v>660</v>
      </c>
      <c r="O6" s="16">
        <v>91</v>
      </c>
      <c r="P6" s="16">
        <v>100</v>
      </c>
      <c r="Q6" s="10">
        <v>91</v>
      </c>
      <c r="R6" s="5" t="s">
        <v>76</v>
      </c>
      <c r="S6" s="5">
        <v>2</v>
      </c>
    </row>
    <row r="7" spans="1:19" ht="15" customHeight="1">
      <c r="A7" s="15">
        <v>1006</v>
      </c>
      <c r="B7" s="16">
        <v>1003</v>
      </c>
      <c r="C7" s="5" t="s">
        <v>86</v>
      </c>
      <c r="D7" s="5" t="s">
        <v>87</v>
      </c>
      <c r="E7" s="5" t="s">
        <v>72</v>
      </c>
      <c r="F7" s="5" t="s">
        <v>88</v>
      </c>
      <c r="G7" s="16">
        <v>302</v>
      </c>
      <c r="H7" s="16" t="s">
        <v>77</v>
      </c>
      <c r="I7" s="16">
        <v>502</v>
      </c>
      <c r="J7" s="16" t="s">
        <v>78</v>
      </c>
      <c r="K7" s="16">
        <v>1</v>
      </c>
      <c r="L7" s="20">
        <v>46117.375</v>
      </c>
      <c r="M7" s="20">
        <v>46117.384722222225</v>
      </c>
      <c r="N7" s="16">
        <v>840</v>
      </c>
      <c r="O7" s="16">
        <v>65</v>
      </c>
      <c r="P7" s="16">
        <v>100</v>
      </c>
      <c r="Q7" s="10">
        <v>65</v>
      </c>
      <c r="R7" s="5" t="s">
        <v>85</v>
      </c>
      <c r="S7" s="5">
        <v>1</v>
      </c>
    </row>
    <row r="8" spans="1:19" ht="24.4" customHeight="1">
      <c r="A8" s="15">
        <v>1007</v>
      </c>
      <c r="B8" s="16">
        <v>1004</v>
      </c>
      <c r="C8" s="5" t="s">
        <v>89</v>
      </c>
      <c r="D8" s="5" t="s">
        <v>90</v>
      </c>
      <c r="E8" s="5" t="s">
        <v>91</v>
      </c>
      <c r="F8" s="5" t="s">
        <v>92</v>
      </c>
      <c r="G8" s="16">
        <v>305</v>
      </c>
      <c r="H8" s="16" t="s">
        <v>93</v>
      </c>
      <c r="I8" s="16">
        <v>504</v>
      </c>
      <c r="J8" s="16" t="s">
        <v>94</v>
      </c>
      <c r="K8" s="16">
        <v>1</v>
      </c>
      <c r="L8" s="20">
        <v>46115.458333333336</v>
      </c>
      <c r="M8" s="20">
        <v>46115.465277777781</v>
      </c>
      <c r="N8" s="16">
        <v>600</v>
      </c>
      <c r="O8" s="16">
        <v>73</v>
      </c>
      <c r="P8" s="16">
        <v>100</v>
      </c>
      <c r="Q8" s="10">
        <v>73</v>
      </c>
      <c r="R8" s="5" t="s">
        <v>76</v>
      </c>
      <c r="S8" s="5">
        <v>1</v>
      </c>
    </row>
    <row r="9" spans="1:19" ht="24.4" customHeight="1">
      <c r="A9" s="17">
        <v>1008</v>
      </c>
      <c r="B9" s="18">
        <v>1004</v>
      </c>
      <c r="C9" s="8" t="s">
        <v>89</v>
      </c>
      <c r="D9" s="8" t="s">
        <v>90</v>
      </c>
      <c r="E9" s="8" t="s">
        <v>91</v>
      </c>
      <c r="F9" s="8" t="s">
        <v>92</v>
      </c>
      <c r="G9" s="18">
        <v>305</v>
      </c>
      <c r="H9" s="18" t="s">
        <v>93</v>
      </c>
      <c r="I9" s="18">
        <v>505</v>
      </c>
      <c r="J9" s="18" t="s">
        <v>95</v>
      </c>
      <c r="K9" s="18">
        <v>1</v>
      </c>
      <c r="L9" s="21">
        <v>46118.375</v>
      </c>
      <c r="M9" s="21">
        <v>46118.379861111112</v>
      </c>
      <c r="N9" s="18">
        <v>420</v>
      </c>
      <c r="O9" s="18">
        <v>82</v>
      </c>
      <c r="P9" s="18">
        <v>100</v>
      </c>
      <c r="Q9" s="11">
        <v>82</v>
      </c>
      <c r="R9" s="8" t="s">
        <v>76</v>
      </c>
      <c r="S9" s="8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18" sqref="C18"/>
    </sheetView>
  </sheetViews>
  <sheetFormatPr defaultRowHeight="14.25"/>
  <cols>
    <col min="1" max="1" width="10" customWidth="1"/>
    <col min="2" max="2" width="10.5" bestFit="1" customWidth="1"/>
    <col min="3" max="3" width="36" customWidth="1"/>
    <col min="4" max="4" width="14" customWidth="1"/>
    <col min="5" max="6" width="22" customWidth="1"/>
    <col min="7" max="7" width="10" customWidth="1"/>
    <col min="8" max="8" width="12.75" bestFit="1" customWidth="1"/>
  </cols>
  <sheetData>
    <row r="1" spans="1:8" s="45" customFormat="1" ht="15" customHeight="1">
      <c r="A1" s="42" t="s">
        <v>51</v>
      </c>
      <c r="B1" s="43" t="s">
        <v>96</v>
      </c>
      <c r="C1" s="43" t="s">
        <v>97</v>
      </c>
      <c r="D1" s="43" t="s">
        <v>98</v>
      </c>
      <c r="E1" s="43" t="s">
        <v>99</v>
      </c>
      <c r="F1" s="43" t="s">
        <v>100</v>
      </c>
      <c r="G1" s="43" t="s">
        <v>101</v>
      </c>
      <c r="H1" s="44" t="s">
        <v>102</v>
      </c>
    </row>
    <row r="2" spans="1:8" ht="15" customHeight="1">
      <c r="A2" s="13">
        <v>1001</v>
      </c>
      <c r="B2" s="14">
        <v>1</v>
      </c>
      <c r="C2" s="12" t="s">
        <v>103</v>
      </c>
      <c r="D2" s="12" t="s">
        <v>104</v>
      </c>
      <c r="E2" s="12" t="s">
        <v>105</v>
      </c>
      <c r="F2" s="12" t="s">
        <v>105</v>
      </c>
      <c r="G2" s="14">
        <v>1</v>
      </c>
      <c r="H2" s="23">
        <v>1</v>
      </c>
    </row>
    <row r="3" spans="1:8" ht="24.4" customHeight="1">
      <c r="A3" s="15">
        <v>1001</v>
      </c>
      <c r="B3" s="16">
        <v>2</v>
      </c>
      <c r="C3" s="5" t="s">
        <v>106</v>
      </c>
      <c r="D3" s="5" t="s">
        <v>104</v>
      </c>
      <c r="E3" s="5"/>
      <c r="F3" s="5"/>
      <c r="G3" s="16">
        <v>1</v>
      </c>
      <c r="H3" s="24">
        <v>1</v>
      </c>
    </row>
    <row r="4" spans="1:8" ht="15" customHeight="1">
      <c r="A4" s="15">
        <v>1001</v>
      </c>
      <c r="B4" s="16">
        <v>3</v>
      </c>
      <c r="C4" s="5" t="s">
        <v>107</v>
      </c>
      <c r="D4" s="5" t="s">
        <v>104</v>
      </c>
      <c r="E4" s="5" t="s">
        <v>108</v>
      </c>
      <c r="F4" s="5" t="s">
        <v>108</v>
      </c>
      <c r="G4" s="16">
        <v>1</v>
      </c>
      <c r="H4" s="24">
        <v>1</v>
      </c>
    </row>
    <row r="5" spans="1:8" ht="15" customHeight="1">
      <c r="A5" s="15">
        <v>1002</v>
      </c>
      <c r="B5" s="16">
        <v>1</v>
      </c>
      <c r="C5" s="5" t="s">
        <v>109</v>
      </c>
      <c r="D5" s="5" t="s">
        <v>104</v>
      </c>
      <c r="E5" s="5" t="s">
        <v>110</v>
      </c>
      <c r="F5" s="5" t="s">
        <v>110</v>
      </c>
      <c r="G5" s="16">
        <v>1</v>
      </c>
      <c r="H5" s="24">
        <v>1</v>
      </c>
    </row>
    <row r="6" spans="1:8" ht="15" customHeight="1">
      <c r="A6" s="15">
        <v>1002</v>
      </c>
      <c r="B6" s="16">
        <v>2</v>
      </c>
      <c r="C6" s="5" t="s">
        <v>111</v>
      </c>
      <c r="D6" s="5" t="s">
        <v>104</v>
      </c>
      <c r="E6" s="5" t="s">
        <v>112</v>
      </c>
      <c r="F6" s="5" t="s">
        <v>112</v>
      </c>
      <c r="G6" s="16">
        <v>1</v>
      </c>
      <c r="H6" s="24">
        <v>1</v>
      </c>
    </row>
    <row r="7" spans="1:8" ht="15" customHeight="1">
      <c r="A7" s="15">
        <v>1003</v>
      </c>
      <c r="B7" s="16">
        <v>1</v>
      </c>
      <c r="C7" s="5" t="s">
        <v>113</v>
      </c>
      <c r="D7" s="5" t="s">
        <v>104</v>
      </c>
      <c r="E7" s="5" t="s">
        <v>114</v>
      </c>
      <c r="F7" s="5" t="s">
        <v>114</v>
      </c>
      <c r="G7" s="16">
        <v>1</v>
      </c>
      <c r="H7" s="24">
        <v>1</v>
      </c>
    </row>
    <row r="8" spans="1:8" ht="15" customHeight="1">
      <c r="A8" s="15">
        <v>1003</v>
      </c>
      <c r="B8" s="16">
        <v>2</v>
      </c>
      <c r="C8" s="5" t="s">
        <v>115</v>
      </c>
      <c r="D8" s="5" t="s">
        <v>104</v>
      </c>
      <c r="E8" s="5" t="s">
        <v>116</v>
      </c>
      <c r="F8" s="5" t="s">
        <v>116</v>
      </c>
      <c r="G8" s="16">
        <v>0</v>
      </c>
      <c r="H8" s="24">
        <v>1</v>
      </c>
    </row>
    <row r="9" spans="1:8" ht="15" customHeight="1">
      <c r="A9" s="15">
        <v>1004</v>
      </c>
      <c r="B9" s="16">
        <v>1</v>
      </c>
      <c r="C9" s="5" t="s">
        <v>117</v>
      </c>
      <c r="D9" s="5" t="s">
        <v>104</v>
      </c>
      <c r="E9" s="5" t="s">
        <v>118</v>
      </c>
      <c r="F9" s="5" t="s">
        <v>118</v>
      </c>
      <c r="G9" s="16">
        <v>1</v>
      </c>
      <c r="H9" s="24">
        <v>1</v>
      </c>
    </row>
    <row r="10" spans="1:8" ht="15" customHeight="1">
      <c r="A10" s="15">
        <v>1005</v>
      </c>
      <c r="B10" s="16">
        <v>1</v>
      </c>
      <c r="C10" s="5" t="s">
        <v>119</v>
      </c>
      <c r="D10" s="5" t="s">
        <v>104</v>
      </c>
      <c r="E10" s="5" t="s">
        <v>120</v>
      </c>
      <c r="F10" s="5" t="s">
        <v>120</v>
      </c>
      <c r="G10" s="16">
        <v>1</v>
      </c>
      <c r="H10" s="24">
        <v>1</v>
      </c>
    </row>
    <row r="11" spans="1:8" ht="24.4" customHeight="1">
      <c r="A11" s="15">
        <v>1005</v>
      </c>
      <c r="B11" s="16">
        <v>2</v>
      </c>
      <c r="C11" s="5" t="s">
        <v>121</v>
      </c>
      <c r="D11" s="5" t="s">
        <v>104</v>
      </c>
      <c r="E11" s="5" t="s">
        <v>122</v>
      </c>
      <c r="F11" s="5" t="s">
        <v>122</v>
      </c>
      <c r="G11" s="16">
        <v>1</v>
      </c>
      <c r="H11" s="24">
        <v>1</v>
      </c>
    </row>
    <row r="12" spans="1:8" ht="15" customHeight="1">
      <c r="A12" s="15">
        <v>1006</v>
      </c>
      <c r="B12" s="16">
        <v>1</v>
      </c>
      <c r="C12" s="5" t="s">
        <v>123</v>
      </c>
      <c r="D12" s="5" t="s">
        <v>104</v>
      </c>
      <c r="E12" s="5" t="s">
        <v>124</v>
      </c>
      <c r="F12" s="5" t="s">
        <v>124</v>
      </c>
      <c r="G12" s="16">
        <v>1</v>
      </c>
      <c r="H12" s="24">
        <v>1</v>
      </c>
    </row>
    <row r="13" spans="1:8" ht="15" customHeight="1">
      <c r="A13" s="15">
        <v>1006</v>
      </c>
      <c r="B13" s="16">
        <v>2</v>
      </c>
      <c r="C13" s="5" t="s">
        <v>125</v>
      </c>
      <c r="D13" s="5" t="s">
        <v>104</v>
      </c>
      <c r="E13" s="5" t="s">
        <v>126</v>
      </c>
      <c r="F13" s="5" t="s">
        <v>126</v>
      </c>
      <c r="G13" s="16">
        <v>0</v>
      </c>
      <c r="H13" s="24">
        <v>1</v>
      </c>
    </row>
    <row r="14" spans="1:8" ht="15" customHeight="1">
      <c r="A14" s="15">
        <v>1007</v>
      </c>
      <c r="B14" s="16">
        <v>1</v>
      </c>
      <c r="C14" s="5" t="s">
        <v>127</v>
      </c>
      <c r="D14" s="5" t="s">
        <v>104</v>
      </c>
      <c r="E14" s="5" t="s">
        <v>128</v>
      </c>
      <c r="F14" s="5" t="s">
        <v>128</v>
      </c>
      <c r="G14" s="16">
        <v>1</v>
      </c>
      <c r="H14" s="24">
        <v>1</v>
      </c>
    </row>
    <row r="15" spans="1:8" ht="15" customHeight="1">
      <c r="A15" s="17">
        <v>1008</v>
      </c>
      <c r="B15" s="18">
        <v>1</v>
      </c>
      <c r="C15" s="8" t="s">
        <v>129</v>
      </c>
      <c r="D15" s="8" t="s">
        <v>104</v>
      </c>
      <c r="E15" s="8" t="s">
        <v>130</v>
      </c>
      <c r="F15" s="8" t="s">
        <v>130</v>
      </c>
      <c r="G15" s="18">
        <v>1</v>
      </c>
      <c r="H15" s="2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3" sqref="A3:XFD3"/>
    </sheetView>
  </sheetViews>
  <sheetFormatPr defaultRowHeight="14.25"/>
  <cols>
    <col min="1" max="1" width="10" customWidth="1"/>
    <col min="2" max="2" width="24" customWidth="1"/>
    <col min="3" max="3" width="14" customWidth="1"/>
    <col min="4" max="4" width="12" customWidth="1"/>
    <col min="5" max="5" width="10" customWidth="1"/>
    <col min="6" max="7" width="12" customWidth="1"/>
    <col min="8" max="8" width="20" customWidth="1"/>
  </cols>
  <sheetData>
    <row r="1" spans="1:8" ht="68.45" customHeight="1">
      <c r="A1" s="36" t="s">
        <v>131</v>
      </c>
      <c r="B1" s="37" t="s">
        <v>131</v>
      </c>
      <c r="C1" s="37" t="s">
        <v>131</v>
      </c>
      <c r="D1" s="37" t="s">
        <v>131</v>
      </c>
      <c r="E1" s="37" t="s">
        <v>131</v>
      </c>
      <c r="F1" s="37" t="s">
        <v>131</v>
      </c>
      <c r="G1" s="37" t="s">
        <v>131</v>
      </c>
      <c r="H1" s="38" t="s">
        <v>131</v>
      </c>
    </row>
    <row r="3" spans="1:8" s="45" customFormat="1" ht="15" customHeight="1">
      <c r="A3" s="46" t="s">
        <v>52</v>
      </c>
      <c r="B3" s="47" t="s">
        <v>132</v>
      </c>
      <c r="C3" s="47" t="s">
        <v>133</v>
      </c>
      <c r="D3" s="47" t="s">
        <v>134</v>
      </c>
      <c r="E3" s="47" t="s">
        <v>44</v>
      </c>
      <c r="F3" s="47" t="s">
        <v>135</v>
      </c>
      <c r="G3" s="47" t="s">
        <v>136</v>
      </c>
      <c r="H3" s="48" t="s">
        <v>137</v>
      </c>
    </row>
    <row r="4" spans="1:8" ht="15" customHeight="1">
      <c r="A4" s="4">
        <v>1001</v>
      </c>
      <c r="B4" s="5" t="s">
        <v>138</v>
      </c>
      <c r="C4" s="5" t="s">
        <v>72</v>
      </c>
      <c r="D4" s="5" t="s">
        <v>73</v>
      </c>
      <c r="E4" s="5">
        <f>COUNTIF('Сырые попытки'!$B$2:$B$9,A4)</f>
        <v>2</v>
      </c>
      <c r="F4" s="10">
        <f>AVERAGEIF('Сырые попытки'!$B$2:$B$9,A4,'Сырые попытки'!$Q$2:$Q$9)</f>
        <v>80.5</v>
      </c>
      <c r="G4" s="10" t="e">
        <f ca="1">MAXIFS('Сырые попытки'!$Q$2:$Q$9,'Сырые попытки'!$B$2:$B$9,A4)</f>
        <v>#NAME?</v>
      </c>
      <c r="H4" s="26" t="e">
        <f ca="1">MAXIFS('Сырые попытки'!$M$2:$M$9,'Сырые попытки'!$B$2:$B$9,A4)</f>
        <v>#NAME?</v>
      </c>
    </row>
    <row r="5" spans="1:8" ht="15" customHeight="1">
      <c r="A5" s="4">
        <v>1002</v>
      </c>
      <c r="B5" s="5" t="s">
        <v>139</v>
      </c>
      <c r="C5" s="5" t="s">
        <v>81</v>
      </c>
      <c r="D5" s="5" t="s">
        <v>82</v>
      </c>
      <c r="E5" s="5">
        <f>COUNTIF('Сырые попытки'!$B$2:$B$9,A5)</f>
        <v>2</v>
      </c>
      <c r="F5" s="10">
        <f>AVERAGEIF('Сырые попытки'!$B$2:$B$9,A5,'Сырые попытки'!$Q$2:$Q$9)</f>
        <v>78.5</v>
      </c>
      <c r="G5" s="10" t="e">
        <f ca="1">MAXIFS('Сырые попытки'!$Q$2:$Q$9,'Сырые попытки'!$B$2:$B$9,A5)</f>
        <v>#NAME?</v>
      </c>
      <c r="H5" s="26" t="e">
        <f ca="1">MAXIFS('Сырые попытки'!$M$2:$M$9,'Сырые попытки'!$B$2:$B$9,A5)</f>
        <v>#NAME?</v>
      </c>
    </row>
    <row r="6" spans="1:8" ht="15" customHeight="1">
      <c r="A6" s="4">
        <v>1003</v>
      </c>
      <c r="B6" s="5" t="s">
        <v>140</v>
      </c>
      <c r="C6" s="5" t="s">
        <v>72</v>
      </c>
      <c r="D6" s="5" t="s">
        <v>88</v>
      </c>
      <c r="E6" s="5">
        <f>COUNTIF('Сырые попытки'!$B$2:$B$9,A6)</f>
        <v>2</v>
      </c>
      <c r="F6" s="10">
        <f>AVERAGEIF('Сырые попытки'!$B$2:$B$9,A6,'Сырые попытки'!$Q$2:$Q$9)</f>
        <v>78</v>
      </c>
      <c r="G6" s="10" t="e">
        <f ca="1">MAXIFS('Сырые попытки'!$Q$2:$Q$9,'Сырые попытки'!$B$2:$B$9,A6)</f>
        <v>#NAME?</v>
      </c>
      <c r="H6" s="26" t="e">
        <f ca="1">MAXIFS('Сырые попытки'!$M$2:$M$9,'Сырые попытки'!$B$2:$B$9,A6)</f>
        <v>#NAME?</v>
      </c>
    </row>
    <row r="7" spans="1:8" ht="15" customHeight="1">
      <c r="A7" s="7">
        <v>1004</v>
      </c>
      <c r="B7" s="8" t="s">
        <v>141</v>
      </c>
      <c r="C7" s="8" t="s">
        <v>91</v>
      </c>
      <c r="D7" s="8" t="s">
        <v>92</v>
      </c>
      <c r="E7" s="8">
        <f>COUNTIF('Сырые попытки'!$B$2:$B$9,A7)</f>
        <v>2</v>
      </c>
      <c r="F7" s="11">
        <f>AVERAGEIF('Сырые попытки'!$B$2:$B$9,A7,'Сырые попытки'!$Q$2:$Q$9)</f>
        <v>77.5</v>
      </c>
      <c r="G7" s="11" t="e">
        <f ca="1">MAXIFS('Сырые попытки'!$Q$2:$Q$9,'Сырые попытки'!$B$2:$B$9,A7)</f>
        <v>#NAME?</v>
      </c>
      <c r="H7" s="27" t="e">
        <f ca="1">MAXIFS('Сырые попытки'!$M$2:$M$9,'Сырые попытки'!$B$2:$B$9,A7)</f>
        <v>#NAME?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B11" sqref="B11"/>
    </sheetView>
  </sheetViews>
  <sheetFormatPr defaultRowHeight="14.25"/>
  <cols>
    <col min="1" max="1" width="18" customWidth="1"/>
    <col min="2" max="2" width="28" customWidth="1"/>
    <col min="3" max="3" width="12" customWidth="1"/>
    <col min="4" max="4" width="18" customWidth="1"/>
    <col min="5" max="5" width="12" customWidth="1"/>
    <col min="6" max="7" width="10" customWidth="1"/>
  </cols>
  <sheetData>
    <row r="1" spans="1:8" ht="68.45" customHeight="1">
      <c r="A1" s="36" t="s">
        <v>142</v>
      </c>
      <c r="B1" s="37" t="s">
        <v>142</v>
      </c>
      <c r="C1" s="37" t="s">
        <v>142</v>
      </c>
      <c r="D1" s="37" t="s">
        <v>142</v>
      </c>
      <c r="E1" s="37" t="s">
        <v>142</v>
      </c>
      <c r="F1" s="37" t="s">
        <v>142</v>
      </c>
      <c r="G1" s="37" t="s">
        <v>142</v>
      </c>
      <c r="H1" s="38" t="s">
        <v>142</v>
      </c>
    </row>
    <row r="3" spans="1:8" ht="15" customHeight="1">
      <c r="A3" s="1" t="s">
        <v>36</v>
      </c>
      <c r="B3" s="2" t="s">
        <v>37</v>
      </c>
      <c r="C3" s="2" t="s">
        <v>38</v>
      </c>
      <c r="D3" s="30" t="s">
        <v>60</v>
      </c>
      <c r="E3" s="2" t="s">
        <v>143</v>
      </c>
      <c r="F3" s="2" t="s">
        <v>144</v>
      </c>
      <c r="G3" s="3" t="s">
        <v>145</v>
      </c>
    </row>
    <row r="4" spans="1:8" ht="15" customHeight="1">
      <c r="A4" s="4" t="s">
        <v>42</v>
      </c>
      <c r="B4" s="5">
        <f ca="1">COUNTA(UNIQUE('Сырые попытки'!B2:B9))</f>
        <v>1</v>
      </c>
      <c r="C4" s="10">
        <f ca="1">COUNTA(UNIQUE('Сырые попытки'!B2:B9))</f>
        <v>1</v>
      </c>
      <c r="D4" s="28" t="s">
        <v>75</v>
      </c>
      <c r="E4" s="10">
        <f>AVERAGEIF('Сырые попытки'!$J$2:$J$9,D4,'Сырые попытки'!$Q$2:$Q$9)</f>
        <v>87.5</v>
      </c>
      <c r="F4" s="5">
        <f>COUNTIF('Сырые попытки'!$J$2:$J$9,D4)</f>
        <v>2</v>
      </c>
      <c r="G4" s="6">
        <f>COUNTIFS('Сырые попытки'!$J$2:$J$9,D4,'Сырые попытки'!$R$2:$R$9,"Сдано")</f>
        <v>2</v>
      </c>
    </row>
    <row r="5" spans="1:8" ht="15" customHeight="1">
      <c r="A5" s="4" t="s">
        <v>45</v>
      </c>
      <c r="B5" s="5">
        <f>COUNTA('Сырые попытки'!A2:A9)</f>
        <v>8</v>
      </c>
      <c r="C5" s="10">
        <f>COUNTA('Сырые попытки'!A2:A9)</f>
        <v>8</v>
      </c>
      <c r="D5" s="28" t="s">
        <v>78</v>
      </c>
      <c r="E5" s="10">
        <f>AVERAGEIF('Сырые попытки'!$J$2:$J$9,D5,'Сырые попытки'!$Q$2:$Q$9)</f>
        <v>71</v>
      </c>
      <c r="F5" s="5">
        <f>COUNTIF('Сырые попытки'!$J$2:$J$9,D5)</f>
        <v>2</v>
      </c>
      <c r="G5" s="6">
        <f>COUNTIFS('Сырые попытки'!$J$2:$J$9,D5,'Сырые попытки'!$R$2:$R$9,"Сдано")</f>
        <v>1</v>
      </c>
    </row>
    <row r="6" spans="1:8" ht="15" customHeight="1">
      <c r="A6" s="4" t="s">
        <v>47</v>
      </c>
      <c r="B6" s="5">
        <f>AVERAGE('Сырые попытки'!Q2:Q9)</f>
        <v>78.625</v>
      </c>
      <c r="C6" s="10">
        <f>AVERAGE('Сырые попытки'!Q2:Q9)</f>
        <v>78.625</v>
      </c>
      <c r="D6" s="29" t="s">
        <v>84</v>
      </c>
      <c r="E6" s="11">
        <f>AVERAGEIF('Сырые попытки'!$J$2:$J$9,D6,'Сырые попытки'!$Q$2:$Q$9)</f>
        <v>78.5</v>
      </c>
      <c r="F6" s="8">
        <f>COUNTIF('Сырые попытки'!$J$2:$J$9,D6)</f>
        <v>2</v>
      </c>
      <c r="G6" s="9">
        <f>COUNTIFS('Сырые попытки'!$J$2:$J$9,D6,'Сырые попытки'!$R$2:$R$9,"Сдано")</f>
        <v>1</v>
      </c>
    </row>
    <row r="7" spans="1:8" ht="24.4" customHeight="1">
      <c r="A7" s="7" t="s">
        <v>146</v>
      </c>
      <c r="B7" s="8">
        <f>COUNTIF('Сырые попытки'!$R$2:$R$9,"Сдано")/COUNTA('Сырые попытки'!A2:A9)</f>
        <v>0.75</v>
      </c>
      <c r="C7" s="11">
        <f>COUNTIF('Сырые попытки'!$R$2:$R$9,"Сдано")/COUNTA('Сырые попытки'!A2:A9)</f>
        <v>0.75</v>
      </c>
      <c r="D7" s="9" t="s">
        <v>147</v>
      </c>
    </row>
    <row r="10" spans="1:8" ht="15" customHeight="1">
      <c r="A10" s="1" t="s">
        <v>148</v>
      </c>
      <c r="B10" s="2" t="s">
        <v>37</v>
      </c>
      <c r="C10" s="3" t="s">
        <v>38</v>
      </c>
    </row>
    <row r="11" spans="1:8" ht="15" customHeight="1">
      <c r="A11" s="4" t="s">
        <v>43</v>
      </c>
      <c r="B11" s="5">
        <f>COUNTIFS('Сырые попытки'!Q2:Q9,"&gt;=0",'Сырые попытки'!Q2:Q9,"&lt;70")</f>
        <v>2</v>
      </c>
      <c r="C11" s="6">
        <f>COUNTIFS('Сырые попытки'!Q2:Q9,"&gt;=0",'Сырые попытки'!Q2:Q9,"&lt;70")</f>
        <v>2</v>
      </c>
    </row>
    <row r="12" spans="1:8" ht="15" customHeight="1">
      <c r="A12" s="4" t="s">
        <v>46</v>
      </c>
      <c r="B12" s="5">
        <f>COUNTIFS('Сырые попытки'!Q2:Q9,"&gt;=70",'Сырые попытки'!Q2:Q9,"&lt;80")</f>
        <v>2</v>
      </c>
      <c r="C12" s="6">
        <f>COUNTIFS('Сырые попытки'!Q2:Q9,"&gt;=70",'Сырые попытки'!Q2:Q9,"&lt;80")</f>
        <v>2</v>
      </c>
    </row>
    <row r="13" spans="1:8" ht="15" customHeight="1">
      <c r="A13" s="4" t="s">
        <v>49</v>
      </c>
      <c r="B13" s="5">
        <f>COUNTIFS('Сырые попытки'!Q2:Q9,"&gt;=80",'Сырые попытки'!Q2:Q9,"&lt;90")</f>
        <v>3</v>
      </c>
      <c r="C13" s="6">
        <f>COUNTIFS('Сырые попытки'!Q2:Q9,"&gt;=80",'Сырые попытки'!Q2:Q9,"&lt;90")</f>
        <v>3</v>
      </c>
    </row>
    <row r="14" spans="1:8" ht="15" customHeight="1">
      <c r="A14" s="4" t="s">
        <v>50</v>
      </c>
      <c r="B14" s="5">
        <f>COUNTIFS('Сырые попытки'!Q2:Q9,"&gt;=90")</f>
        <v>1</v>
      </c>
      <c r="C14" s="6">
        <f>COUNTIFS('Сырые попытки'!Q2:Q9,"&gt;=90")</f>
        <v>1</v>
      </c>
    </row>
    <row r="15" spans="1:8" ht="15" customHeight="1">
      <c r="A15" s="7" t="s">
        <v>149</v>
      </c>
      <c r="B15" s="8">
        <f>SUM(C11:C14)</f>
        <v>8</v>
      </c>
      <c r="C15" s="9">
        <f>SUM(C11:C14)</f>
        <v>8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H1"/>
    </sheetView>
  </sheetViews>
  <sheetFormatPr defaultRowHeight="14.25"/>
  <cols>
    <col min="1" max="2" width="18" customWidth="1"/>
    <col min="3" max="3" width="12" customWidth="1"/>
    <col min="4" max="4" width="18" customWidth="1"/>
    <col min="5" max="5" width="14" customWidth="1"/>
    <col min="6" max="6" width="10" customWidth="1"/>
  </cols>
  <sheetData>
    <row r="1" spans="1:8" ht="170.85" customHeight="1">
      <c r="A1" s="36" t="s">
        <v>150</v>
      </c>
      <c r="B1" s="37" t="s">
        <v>150</v>
      </c>
      <c r="C1" s="37" t="s">
        <v>150</v>
      </c>
      <c r="D1" s="37" t="s">
        <v>150</v>
      </c>
      <c r="E1" s="37" t="s">
        <v>150</v>
      </c>
      <c r="F1" s="37" t="s">
        <v>150</v>
      </c>
      <c r="G1" s="37" t="s">
        <v>150</v>
      </c>
      <c r="H1" s="38" t="s">
        <v>150</v>
      </c>
    </row>
    <row r="3" spans="1:8" ht="15" customHeight="1">
      <c r="A3" s="1" t="s">
        <v>151</v>
      </c>
      <c r="B3" s="2" t="s">
        <v>37</v>
      </c>
      <c r="C3" s="2" t="s">
        <v>38</v>
      </c>
      <c r="D3" s="3" t="s">
        <v>152</v>
      </c>
    </row>
    <row r="4" spans="1:8" ht="24.4" customHeight="1">
      <c r="A4" s="4" t="s">
        <v>44</v>
      </c>
      <c r="B4" s="5">
        <f>COUNTIF('Сырые попытки'!$B$2:$B$9,1001)</f>
        <v>2</v>
      </c>
      <c r="C4" s="10">
        <f>COUNTIF('Сырые попытки'!$B$2:$B$9,1001)</f>
        <v>2</v>
      </c>
      <c r="D4" s="6" t="s">
        <v>153</v>
      </c>
    </row>
    <row r="5" spans="1:8" ht="15" customHeight="1">
      <c r="A5" s="4" t="s">
        <v>135</v>
      </c>
      <c r="B5" s="5">
        <f>AVERAGEIF('Сырые попытки'!$B$2:$B$9,1001,'Сырые попытки'!$Q$2:$Q$9)</f>
        <v>80.5</v>
      </c>
      <c r="C5" s="10">
        <f>AVERAGEIF('Сырые попытки'!$B$2:$B$9,1001,'Сырые попытки'!$Q$2:$Q$9)</f>
        <v>80.5</v>
      </c>
      <c r="D5" s="6" t="s">
        <v>48</v>
      </c>
    </row>
    <row r="6" spans="1:8" ht="24.4" customHeight="1">
      <c r="A6" s="4" t="s">
        <v>154</v>
      </c>
      <c r="B6" s="5" t="e">
        <f ca="1">MAXIFS('Сырые попытки'!$Q$2:$Q$9,'Сырые попытки'!$B$2:$B$9,1001)</f>
        <v>#NAME?</v>
      </c>
      <c r="C6" s="10" t="e">
        <f ca="1">MAXIFS('Сырые попытки'!$Q$2:$Q$9,'Сырые попытки'!$B$2:$B$9,1001)</f>
        <v>#NAME?</v>
      </c>
      <c r="D6" s="6" t="s">
        <v>155</v>
      </c>
    </row>
    <row r="7" spans="1:8" ht="24.4" customHeight="1">
      <c r="A7" s="4" t="s">
        <v>156</v>
      </c>
      <c r="B7" s="5" t="e">
        <f ca="1">MAXIFS('Сырые попытки'!$M$2:$M$9,'Сырые попытки'!$B$2:$B$9,1001)</f>
        <v>#NAME?</v>
      </c>
      <c r="C7" s="20" t="e">
        <f ca="1">MAXIFS('Сырые попытки'!$M$2:$M$9,'Сырые попытки'!$B$2:$B$9,1001)</f>
        <v>#NAME?</v>
      </c>
      <c r="D7" s="6" t="s">
        <v>157</v>
      </c>
    </row>
    <row r="8" spans="1:8" ht="24.4" customHeight="1">
      <c r="A8" s="7" t="s">
        <v>158</v>
      </c>
      <c r="B8" s="8" t="e">
        <f ca="1">XLOOKUP(MAXIFS('Сырые попытки'!$A$2:$A$9,'Сырые попытки'!$B$2:$B$9,1001),'Сырые попытки'!$A$2:$A$9,'Сырые попытки'!$H$2:$H$9)</f>
        <v>#NAME?</v>
      </c>
      <c r="C8" s="35" t="e">
        <f ca="1">XLOOKUP(MAXIFS('Сырые попытки'!$A$2:$A$9,'Сырые попытки'!$B$2:$B$9,1001),'Сырые попытки'!$A$2:$A$9,'Сырые попытки'!$H$2:$H$9)</f>
        <v>#NAME?</v>
      </c>
      <c r="D8" s="9" t="s">
        <v>159</v>
      </c>
    </row>
    <row r="11" spans="1:8" ht="15" customHeight="1">
      <c r="A11" s="1" t="s">
        <v>160</v>
      </c>
      <c r="B11" s="2" t="s">
        <v>161</v>
      </c>
      <c r="C11" s="2" t="s">
        <v>20</v>
      </c>
      <c r="D11" s="2" t="s">
        <v>14</v>
      </c>
      <c r="E11" s="2" t="s">
        <v>162</v>
      </c>
      <c r="F11" s="3" t="s">
        <v>163</v>
      </c>
    </row>
    <row r="12" spans="1:8" ht="24.4" customHeight="1">
      <c r="A12" s="31">
        <v>46113.381249999999</v>
      </c>
      <c r="B12" s="5" t="s">
        <v>74</v>
      </c>
      <c r="C12" s="5" t="s">
        <v>75</v>
      </c>
      <c r="D12" s="5">
        <v>1</v>
      </c>
      <c r="E12" s="5" t="s">
        <v>76</v>
      </c>
      <c r="F12" s="33">
        <v>84</v>
      </c>
    </row>
    <row r="13" spans="1:8" ht="15" customHeight="1">
      <c r="A13" s="32">
        <v>46114.383333333331</v>
      </c>
      <c r="B13" s="8" t="s">
        <v>77</v>
      </c>
      <c r="C13" s="8" t="s">
        <v>78</v>
      </c>
      <c r="D13" s="8">
        <v>1</v>
      </c>
      <c r="E13" s="8" t="s">
        <v>76</v>
      </c>
      <c r="F13" s="34">
        <v>77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Обзор</vt:lpstr>
      <vt:lpstr>Сырые попытки</vt:lpstr>
      <vt:lpstr>Ответы по вопросам</vt:lpstr>
      <vt:lpstr>Сводка студента</vt:lpstr>
      <vt:lpstr>Сводка университета</vt:lpstr>
      <vt:lpstr>Восстановл_Лист1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2026-04-29T14:37:01Z</dcterms:created>
  <dcterms:modified xsi:type="dcterms:W3CDTF">2026-04-29T14:37:01Z</dcterms:modified>
</cp:coreProperties>
</file>