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uto\Desktop\проекты\dashboards\src\data\"/>
    </mc:Choice>
  </mc:AlternateContent>
  <bookViews>
    <workbookView xWindow="0" yWindow="0" windowWidth="28800" windowHeight="12135"/>
  </bookViews>
  <sheets>
    <sheet name="Сырые попытки" sheetId="2" r:id="rId1"/>
    <sheet name="Обзор" sheetId="1" r:id="rId2"/>
    <sheet name="Ответы по вопросам" sheetId="3" r:id="rId3"/>
    <sheet name="Сводка студента" sheetId="4" r:id="rId4"/>
    <sheet name="Сводка университета" sheetId="5" r:id="rId5"/>
    <sheet name="Восстановл_Лист1" sheetId="6" r:id="rId6"/>
  </sheets>
  <calcPr calcId="162913"/>
</workbook>
</file>

<file path=xl/calcChain.xml><?xml version="1.0" encoding="utf-8"?>
<calcChain xmlns="http://schemas.openxmlformats.org/spreadsheetml/2006/main">
  <c r="C5" i="6" l="1"/>
  <c r="B5" i="6"/>
  <c r="C4" i="6"/>
  <c r="B4" i="6"/>
  <c r="C7" i="5"/>
  <c r="B7" i="5"/>
  <c r="G6" i="5"/>
  <c r="F6" i="5"/>
  <c r="E6" i="5"/>
  <c r="G5" i="5"/>
  <c r="F5" i="5"/>
  <c r="E5" i="5"/>
  <c r="C5" i="5"/>
  <c r="B5" i="5"/>
  <c r="G4" i="5"/>
  <c r="F4" i="5"/>
  <c r="E4" i="5"/>
  <c r="F7" i="4"/>
  <c r="E7" i="4"/>
  <c r="F6" i="4"/>
  <c r="E6" i="4"/>
  <c r="F5" i="4"/>
  <c r="E5" i="4"/>
  <c r="F4" i="4"/>
  <c r="E4" i="4"/>
  <c r="C12" i="1"/>
  <c r="B12" i="1"/>
  <c r="H6" i="4"/>
  <c r="C8" i="6"/>
  <c r="H7" i="4"/>
  <c r="C11" i="1"/>
  <c r="H5" i="4"/>
  <c r="B7" i="6"/>
  <c r="G5" i="4"/>
  <c r="G7" i="4"/>
  <c r="C6" i="6"/>
  <c r="B6" i="6"/>
  <c r="B8" i="6"/>
  <c r="C7" i="6"/>
  <c r="G6" i="4"/>
  <c r="B11" i="1"/>
  <c r="C4" i="5"/>
  <c r="B4" i="5"/>
  <c r="G4" i="4"/>
  <c r="H4" i="4"/>
  <c r="C14" i="5" l="1"/>
  <c r="H12" i="1"/>
  <c r="B13" i="5"/>
  <c r="C6" i="5"/>
  <c r="B11" i="5"/>
  <c r="G14" i="1"/>
  <c r="B14" i="5"/>
  <c r="B13" i="1"/>
  <c r="G11" i="1"/>
  <c r="C12" i="5"/>
  <c r="H11" i="1"/>
  <c r="H14" i="1"/>
  <c r="H13" i="1"/>
  <c r="G13" i="1"/>
  <c r="G12" i="1"/>
  <c r="C13" i="1"/>
  <c r="B6" i="5"/>
  <c r="C13" i="5"/>
  <c r="B12" i="5"/>
  <c r="C11" i="5"/>
  <c r="B15" i="5" s="1"/>
  <c r="C15" i="5" l="1"/>
</calcChain>
</file>

<file path=xl/sharedStrings.xml><?xml version="1.0" encoding="utf-8"?>
<sst xmlns="http://schemas.openxmlformats.org/spreadsheetml/2006/main" count="3741" uniqueCount="305">
  <si>
    <t>Moodle МАРГУ — аналитический отчет по тестированию</t>
  </si>
  <si>
    <t>Что содержит книга</t>
  </si>
  <si>
    <t>Справка по данным Moodle</t>
  </si>
  <si>
    <t>Лист</t>
  </si>
  <si>
    <t>Назначение</t>
  </si>
  <si>
    <t>Уровень</t>
  </si>
  <si>
    <t>Примечание</t>
  </si>
  <si>
    <t>Категория</t>
  </si>
  <si>
    <t>Что фиксируется</t>
  </si>
  <si>
    <t>Смысл</t>
  </si>
  <si>
    <t>Сырые попытки</t>
  </si>
  <si>
    <t>Все попытки студентов</t>
  </si>
  <si>
    <t>Университет</t>
  </si>
  <si>
    <t>Одна строка = одна попытка</t>
  </si>
  <si>
    <t>Попытка</t>
  </si>
  <si>
    <t>id, quiz, userid, attempt, timestart, timefinish, sumgrades</t>
  </si>
  <si>
    <t>Время, итог и идентификаторы</t>
  </si>
  <si>
    <t>Ответы по вопросам</t>
  </si>
  <si>
    <t>Детализация по вопросам</t>
  </si>
  <si>
    <t>Одна строка = один вопрос</t>
  </si>
  <si>
    <t>Тест</t>
  </si>
  <si>
    <t>course, name, intro, timeopen, timeclose, timelimit</t>
  </si>
  <si>
    <t>Настройки теста</t>
  </si>
  <si>
    <t>Сводка студента</t>
  </si>
  <si>
    <t>Агрегация по студенту</t>
  </si>
  <si>
    <t>Студент</t>
  </si>
  <si>
    <t>Пример по выбранному студенту</t>
  </si>
  <si>
    <t>Вопрос</t>
  </si>
  <si>
    <t>questionid, text, answer, fraction</t>
  </si>
  <si>
    <t>Ответы по каждому вопросу</t>
  </si>
  <si>
    <t>Сводка университета</t>
  </si>
  <si>
    <t>Общие KPI и распределения</t>
  </si>
  <si>
    <t>Формулы и диаграмма</t>
  </si>
  <si>
    <t>Логи</t>
  </si>
  <si>
    <t>timecreated, eventname, ip</t>
  </si>
  <si>
    <t>Поведение пользователя во время тестирования</t>
  </si>
  <si>
    <t>KPI</t>
  </si>
  <si>
    <t>Формула</t>
  </si>
  <si>
    <t>Значение</t>
  </si>
  <si>
    <t>Описание</t>
  </si>
  <si>
    <t>Распределение</t>
  </si>
  <si>
    <t>Студентов</t>
  </si>
  <si>
    <t>Уникальные студенты</t>
  </si>
  <si>
    <t>0–69%</t>
  </si>
  <si>
    <t>Попыток</t>
  </si>
  <si>
    <t>Всего попыток</t>
  </si>
  <si>
    <t>70–79%</t>
  </si>
  <si>
    <t>Средний процент</t>
  </si>
  <si>
    <t>Средний результат</t>
  </si>
  <si>
    <t>80–89%</t>
  </si>
  <si>
    <t>90–100%</t>
  </si>
  <si>
    <t>attempt_id</t>
  </si>
  <si>
    <t>student_id</t>
  </si>
  <si>
    <t>surname</t>
  </si>
  <si>
    <t>name</t>
  </si>
  <si>
    <t>faculty</t>
  </si>
  <si>
    <t>group</t>
  </si>
  <si>
    <t>course_id</t>
  </si>
  <si>
    <t>course_name</t>
  </si>
  <si>
    <t>quiz_id</t>
  </si>
  <si>
    <t>quiz_name</t>
  </si>
  <si>
    <t>attempt_no</t>
  </si>
  <si>
    <t>start_time</t>
  </si>
  <si>
    <t>finish_time</t>
  </si>
  <si>
    <t>duration_sec</t>
  </si>
  <si>
    <t>raw_score</t>
  </si>
  <si>
    <t>max_score</t>
  </si>
  <si>
    <t>percent</t>
  </si>
  <si>
    <t>result</t>
  </si>
  <si>
    <t>correct_answers</t>
  </si>
  <si>
    <t>Анна</t>
  </si>
  <si>
    <t>ФИТ</t>
  </si>
  <si>
    <t>ИКТ-21</t>
  </si>
  <si>
    <t>Информатика</t>
  </si>
  <si>
    <t>Основы Python</t>
  </si>
  <si>
    <t>Сдано</t>
  </si>
  <si>
    <t>Базы данных</t>
  </si>
  <si>
    <t>SQL и запросы</t>
  </si>
  <si>
    <t>Иванов</t>
  </si>
  <si>
    <t>ФИМ</t>
  </si>
  <si>
    <t>МАТ-22</t>
  </si>
  <si>
    <t>Линейная алгебра</t>
  </si>
  <si>
    <t>Не сдано</t>
  </si>
  <si>
    <t>ИКТ-22</t>
  </si>
  <si>
    <t>Мария</t>
  </si>
  <si>
    <t>ИЭУ</t>
  </si>
  <si>
    <t>ЭК-23</t>
  </si>
  <si>
    <t>question_no</t>
  </si>
  <si>
    <t>question_text</t>
  </si>
  <si>
    <t>question_type</t>
  </si>
  <si>
    <t>student_answer</t>
  </si>
  <si>
    <t>correct_answer</t>
  </si>
  <si>
    <t>is_correct</t>
  </si>
  <si>
    <t>question_score</t>
  </si>
  <si>
    <t>Что делает функция print() в Python?</t>
  </si>
  <si>
    <t>multichoice</t>
  </si>
  <si>
    <t>Выводит текст на экран</t>
  </si>
  <si>
    <t>Какой оператор используется для сравнения в Python?</t>
  </si>
  <si>
    <t>Как создать список в Python?</t>
  </si>
  <si>
    <t>[1, 2, 3]</t>
  </si>
  <si>
    <t>Что возвращает SELECT COUNT(*)?</t>
  </si>
  <si>
    <t>Количество строк</t>
  </si>
  <si>
    <t>Какая команда выбирает все поля?</t>
  </si>
  <si>
    <t>SELECT *</t>
  </si>
  <si>
    <t>Что такое матрица?</t>
  </si>
  <si>
    <t>Таблица чисел</t>
  </si>
  <si>
    <t>Что показывает определитель?</t>
  </si>
  <si>
    <t>Свойства матрицы</t>
  </si>
  <si>
    <t>Что такое векторное пространство?</t>
  </si>
  <si>
    <t>Набор векторов</t>
  </si>
  <si>
    <t>Как объявить переменную в Python?</t>
  </si>
  <si>
    <t>x = 5</t>
  </si>
  <si>
    <t>Что такое список?</t>
  </si>
  <si>
    <t>Изменяемая последовательность</t>
  </si>
  <si>
    <t>Что такое внешний ключ?</t>
  </si>
  <si>
    <t>Связь между таблицами</t>
  </si>
  <si>
    <t>Что делает JOIN?</t>
  </si>
  <si>
    <t>Объединяет таблицы</t>
  </si>
  <si>
    <t>Что изучает макроэкономика?</t>
  </si>
  <si>
    <t>Экономику в целом</t>
  </si>
  <si>
    <t>Что такое эластичность спроса?</t>
  </si>
  <si>
    <t>Чувствительность спроса</t>
  </si>
  <si>
    <t>Сводка по студентам</t>
  </si>
  <si>
    <t>ФИО</t>
  </si>
  <si>
    <t>Факультет</t>
  </si>
  <si>
    <t>Группа</t>
  </si>
  <si>
    <t>Средний %</t>
  </si>
  <si>
    <t>Лучший %</t>
  </si>
  <si>
    <t>Последняя попытка</t>
  </si>
  <si>
    <t>Морозова Анна</t>
  </si>
  <si>
    <t>Иванов Даниил</t>
  </si>
  <si>
    <t>Смирнова Екатерина</t>
  </si>
  <si>
    <t>Кузнецова Мария</t>
  </si>
  <si>
    <t>Сводка уровня университета</t>
  </si>
  <si>
    <t>avg_percent</t>
  </si>
  <si>
    <t>attempts</t>
  </si>
  <si>
    <t>passed</t>
  </si>
  <si>
    <t>Доля сдавших</t>
  </si>
  <si>
    <t>Процент успешных попыток</t>
  </si>
  <si>
    <t>Диапазон</t>
  </si>
  <si>
    <t>Всего</t>
  </si>
  <si>
    <t>Индивидуальный отчет: Морозова Анна (student_id 1001)</t>
  </si>
  <si>
    <t>Показатель</t>
  </si>
  <si>
    <t>Комментарий</t>
  </si>
  <si>
    <t>Все попытки студентки</t>
  </si>
  <si>
    <t>Лучшая попытка</t>
  </si>
  <si>
    <t>Максимальный процент</t>
  </si>
  <si>
    <t>Дата последней попытки</t>
  </si>
  <si>
    <t>Последнее завершение</t>
  </si>
  <si>
    <t>Последний курс</t>
  </si>
  <si>
    <t>Курс последней попытки</t>
  </si>
  <si>
    <t>Дата</t>
  </si>
  <si>
    <t>Курс</t>
  </si>
  <si>
    <t>Результат</t>
  </si>
  <si>
    <t>%</t>
  </si>
  <si>
    <t>Михайлов</t>
  </si>
  <si>
    <t>Елена</t>
  </si>
  <si>
    <t>ХИМ-41</t>
  </si>
  <si>
    <t>Тест по теме 12</t>
  </si>
  <si>
    <t>Беляев</t>
  </si>
  <si>
    <t>ФКУЛ</t>
  </si>
  <si>
    <t>ЭК-32</t>
  </si>
  <si>
    <t>Тест по теме 9</t>
  </si>
  <si>
    <t>Крылов</t>
  </si>
  <si>
    <t>Андрей</t>
  </si>
  <si>
    <t>ФИЛ-43</t>
  </si>
  <si>
    <t>Тест по теме 10</t>
  </si>
  <si>
    <t>Смирнов</t>
  </si>
  <si>
    <t>Алина</t>
  </si>
  <si>
    <t>ФКС</t>
  </si>
  <si>
    <t>ЛИНГ-11</t>
  </si>
  <si>
    <t>Тест по теме 35</t>
  </si>
  <si>
    <t>Громов</t>
  </si>
  <si>
    <t>ХИМ-14</t>
  </si>
  <si>
    <t>Тест по теме 27</t>
  </si>
  <si>
    <t>Новиков</t>
  </si>
  <si>
    <t>Светлана</t>
  </si>
  <si>
    <t>ФГН</t>
  </si>
  <si>
    <t>ФИЛ-22</t>
  </si>
  <si>
    <t>Тест по теме 33</t>
  </si>
  <si>
    <t>Юлия</t>
  </si>
  <si>
    <t>ПМИ-34</t>
  </si>
  <si>
    <t>Тест по теме 23</t>
  </si>
  <si>
    <t>Егоров</t>
  </si>
  <si>
    <t>ЮР-41</t>
  </si>
  <si>
    <t>Тест по теме 40</t>
  </si>
  <si>
    <t>Наталья</t>
  </si>
  <si>
    <t>ФБИ</t>
  </si>
  <si>
    <t>Зайцев</t>
  </si>
  <si>
    <t>Дмитрий</t>
  </si>
  <si>
    <t>Васильев</t>
  </si>
  <si>
    <t>Николай</t>
  </si>
  <si>
    <t>ИВТ-14</t>
  </si>
  <si>
    <t>Тест по теме 7</t>
  </si>
  <si>
    <t>Сидоров</t>
  </si>
  <si>
    <t>Татьяна</t>
  </si>
  <si>
    <t>Тест по теме 16</t>
  </si>
  <si>
    <t>ФЭУ</t>
  </si>
  <si>
    <t>Тест по теме 37</t>
  </si>
  <si>
    <t>Орлов</t>
  </si>
  <si>
    <t>БИО-33</t>
  </si>
  <si>
    <t>Тест по теме 3</t>
  </si>
  <si>
    <t>Дарья</t>
  </si>
  <si>
    <t>ПСИХ-42</t>
  </si>
  <si>
    <t>Тест по теме 22</t>
  </si>
  <si>
    <t>ФПП</t>
  </si>
  <si>
    <t>Попов</t>
  </si>
  <si>
    <t>Максим</t>
  </si>
  <si>
    <t>Тест по теме 19</t>
  </si>
  <si>
    <t>ФИП</t>
  </si>
  <si>
    <t>Тест по теме 29</t>
  </si>
  <si>
    <t>Тест по теме 34</t>
  </si>
  <si>
    <t>ИВТ-33</t>
  </si>
  <si>
    <t>Тест по теме 2</t>
  </si>
  <si>
    <t>Кузнецов</t>
  </si>
  <si>
    <t>Сергей</t>
  </si>
  <si>
    <t>ЛИНГ-34</t>
  </si>
  <si>
    <t>Тарасов</t>
  </si>
  <si>
    <t>Тест по теме 6</t>
  </si>
  <si>
    <t>ФИЛ-31</t>
  </si>
  <si>
    <t>Тест по теме 14</t>
  </si>
  <si>
    <t>Ксения</t>
  </si>
  <si>
    <t>Тест по теме 25</t>
  </si>
  <si>
    <t>Никитин</t>
  </si>
  <si>
    <t>Егор</t>
  </si>
  <si>
    <t>ХИМ-13</t>
  </si>
  <si>
    <t>Тест по теме 4</t>
  </si>
  <si>
    <t>Макаров</t>
  </si>
  <si>
    <t>ЭК-44</t>
  </si>
  <si>
    <t>Тест по теме 21</t>
  </si>
  <si>
    <t>Тест по теме 15</t>
  </si>
  <si>
    <t>Тест по теме 8</t>
  </si>
  <si>
    <t>Тест по теме 31</t>
  </si>
  <si>
    <t>Тест по теме 5</t>
  </si>
  <si>
    <t>Ольга</t>
  </si>
  <si>
    <t>Тест по теме 39</t>
  </si>
  <si>
    <t>Тест по теме 20</t>
  </si>
  <si>
    <t>ЭК-24</t>
  </si>
  <si>
    <t>Тест по теме 11</t>
  </si>
  <si>
    <t>ФИЛ-14</t>
  </si>
  <si>
    <t>Тест по теме 17</t>
  </si>
  <si>
    <t>Алексей</t>
  </si>
  <si>
    <t>БИО-13</t>
  </si>
  <si>
    <t>ПМИ-33</t>
  </si>
  <si>
    <t>Тест по теме 13</t>
  </si>
  <si>
    <t>Петров</t>
  </si>
  <si>
    <t>Тест по теме 24</t>
  </si>
  <si>
    <t>Тест по теме 28</t>
  </si>
  <si>
    <t>Тест по теме 30</t>
  </si>
  <si>
    <t>Ирина</t>
  </si>
  <si>
    <t>Тест по теме 36</t>
  </si>
  <si>
    <t>Киселёв</t>
  </si>
  <si>
    <t>Тест по теме 32</t>
  </si>
  <si>
    <t>Фёдоров</t>
  </si>
  <si>
    <t>Тест по теме 18</t>
  </si>
  <si>
    <t>ФИЛ-24</t>
  </si>
  <si>
    <t>ХИМ-31</t>
  </si>
  <si>
    <t>Тест по теме 26</t>
  </si>
  <si>
    <t>ПСИХ-11</t>
  </si>
  <si>
    <t>ЛИНГ-43</t>
  </si>
  <si>
    <t>ЮР-22</t>
  </si>
  <si>
    <t>Иван</t>
  </si>
  <si>
    <t>ФИЛ-33</t>
  </si>
  <si>
    <t>ПСИХ-31</t>
  </si>
  <si>
    <t>Тест по теме 38</t>
  </si>
  <si>
    <t>ЭК-34</t>
  </si>
  <si>
    <t>БИО-14</t>
  </si>
  <si>
    <t>МЕН-14</t>
  </si>
  <si>
    <t>ФИЛ-44</t>
  </si>
  <si>
    <t>ПСИХ-22</t>
  </si>
  <si>
    <t>ПСИХ-44</t>
  </si>
  <si>
    <t>ФИЛ-11</t>
  </si>
  <si>
    <t>Тест по теме 1</t>
  </si>
  <si>
    <t>БИО-32</t>
  </si>
  <si>
    <t>ЭК</t>
  </si>
  <si>
    <t>ФИЗМАТ</t>
  </si>
  <si>
    <t>Иностранный язык</t>
  </si>
  <si>
    <t>История России</t>
  </si>
  <si>
    <t>Математический анализ</t>
  </si>
  <si>
    <t>Философия</t>
  </si>
  <si>
    <t>Технологии блокчейн</t>
  </si>
  <si>
    <t>Основы экономики</t>
  </si>
  <si>
    <t>Маркетинг</t>
  </si>
  <si>
    <t>Цифровая культура</t>
  </si>
  <si>
    <t>Информационная безопасность</t>
  </si>
  <si>
    <t>Электронный документооборот</t>
  </si>
  <si>
    <t>Анализ и прогнозирование временных данных</t>
  </si>
  <si>
    <t>Деловое общение</t>
  </si>
  <si>
    <t>Оценка инвестиций</t>
  </si>
  <si>
    <t>Статистическая оценка анализа рынка</t>
  </si>
  <si>
    <t>Профессиональная этика</t>
  </si>
  <si>
    <t>Системы имитационного моделирования</t>
  </si>
  <si>
    <t>Экономические исследования</t>
  </si>
  <si>
    <t>Рынки ИКТ</t>
  </si>
  <si>
    <t>Стандартизация, сертификация и управление качеством ПО</t>
  </si>
  <si>
    <t>Моделирование бизнес-процессов и систем</t>
  </si>
  <si>
    <t>Финансовая и актуарная математика</t>
  </si>
  <si>
    <t>Базы данных для аналитических расчетов</t>
  </si>
  <si>
    <t>Теория отраслевых рынков</t>
  </si>
  <si>
    <t>Деловые коммуникации в IT сфере</t>
  </si>
  <si>
    <t>Методы компьютерного формирования управленческих решений</t>
  </si>
  <si>
    <t>Теория вероятностей и математическая статистика</t>
  </si>
  <si>
    <t>Сетевые модели и оптимизационные алгоритмы в экономике</t>
  </si>
  <si>
    <t>Бухгалтерский управленческий учет</t>
  </si>
  <si>
    <t>Высшая математика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</si>
</sst>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\ hh:mm"/>
  </numFmts>
  <fonts count="7">
    <font>
      <sz val="11"/>
      <name val="Carlito"/>
    </font>
    <font>
      <b/>
      <sz val="14"/>
      <name val="Carlito"/>
    </font>
    <font>
      <b/>
      <sz val="11"/>
      <name val="Carlito"/>
    </font>
    <font>
      <b/>
      <sz val="10"/>
      <name val="Carlito"/>
    </font>
    <font>
      <sz val="10"/>
      <name val="Carlito"/>
    </font>
    <font>
      <sz val="11"/>
      <name val="Carlito"/>
    </font>
    <font>
      <b/>
      <sz val="10"/>
      <name val="Carlito"/>
      <charset val="204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3F6FA"/>
      </patternFill>
    </fill>
    <fill>
      <patternFill patternType="solid">
        <fgColor rgb="FFD9EAF7"/>
      </patternFill>
    </fill>
  </fills>
  <borders count="15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xfId="0"/>
    <xf numFmtId="0" fontId="4" fillId="4" borderId="1" xfId="1" applyNumberFormat="1" applyFont="1" applyFill="1" applyBorder="1" applyAlignment="1">
      <alignment horizontal="left" vertical="center" wrapText="1"/>
    </xf>
    <xf numFmtId="0" fontId="4" fillId="4" borderId="2" xfId="1" applyNumberFormat="1" applyFont="1" applyFill="1" applyBorder="1" applyAlignment="1">
      <alignment horizontal="left" vertical="center" wrapText="1"/>
    </xf>
    <xf numFmtId="0" fontId="4" fillId="4" borderId="3" xfId="1" applyNumberFormat="1" applyFont="1" applyFill="1" applyBorder="1" applyAlignment="1">
      <alignment horizontal="left" vertical="center" wrapText="1"/>
    </xf>
    <xf numFmtId="0" fontId="4" fillId="0" borderId="4" xfId="1" applyNumberFormat="1" applyFont="1" applyFill="1" applyBorder="1" applyAlignment="1">
      <alignment horizontal="left" vertical="center" wrapText="1"/>
    </xf>
    <xf numFmtId="0" fontId="4" fillId="0" borderId="0" xfId="1" applyNumberFormat="1" applyFont="1" applyFill="1" applyBorder="1" applyAlignment="1">
      <alignment horizontal="left" vertical="center" wrapText="1"/>
    </xf>
    <xf numFmtId="0" fontId="4" fillId="0" borderId="5" xfId="1" applyNumberFormat="1" applyFont="1" applyFill="1" applyBorder="1" applyAlignment="1">
      <alignment horizontal="left" vertical="center" wrapText="1"/>
    </xf>
    <xf numFmtId="0" fontId="4" fillId="0" borderId="6" xfId="1" applyNumberFormat="1" applyFont="1" applyFill="1" applyBorder="1" applyAlignment="1">
      <alignment horizontal="left" vertical="center" wrapText="1"/>
    </xf>
    <xf numFmtId="0" fontId="4" fillId="0" borderId="7" xfId="1" applyNumberFormat="1" applyFont="1" applyFill="1" applyBorder="1" applyAlignment="1">
      <alignment horizontal="left" vertical="center" wrapText="1"/>
    </xf>
    <xf numFmtId="0" fontId="4" fillId="0" borderId="8" xfId="1" applyNumberFormat="1" applyFont="1" applyFill="1" applyBorder="1" applyAlignment="1">
      <alignment horizontal="left" vertical="center" wrapText="1"/>
    </xf>
    <xf numFmtId="0" fontId="4" fillId="0" borderId="10" xfId="1" applyNumberFormat="1" applyFont="1" applyFill="1" applyBorder="1" applyAlignment="1">
      <alignment horizontal="left" vertical="center" wrapText="1"/>
    </xf>
    <xf numFmtId="1" fontId="4" fillId="0" borderId="9" xfId="1" applyNumberFormat="1" applyFont="1" applyFill="1" applyBorder="1" applyAlignment="1">
      <alignment horizontal="left" vertical="center" wrapText="1"/>
    </xf>
    <xf numFmtId="1" fontId="4" fillId="0" borderId="10" xfId="1" applyNumberFormat="1" applyFont="1" applyFill="1" applyBorder="1" applyAlignment="1">
      <alignment horizontal="left" vertical="center" wrapText="1"/>
    </xf>
    <xf numFmtId="1" fontId="4" fillId="0" borderId="4" xfId="1" applyNumberFormat="1" applyFont="1" applyFill="1" applyBorder="1" applyAlignment="1">
      <alignment horizontal="left" vertical="center" wrapText="1"/>
    </xf>
    <xf numFmtId="1" fontId="4" fillId="0" borderId="0" xfId="1" applyNumberFormat="1" applyFont="1" applyFill="1" applyBorder="1" applyAlignment="1">
      <alignment horizontal="left" vertical="center" wrapText="1"/>
    </xf>
    <xf numFmtId="1" fontId="4" fillId="0" borderId="6" xfId="1" applyNumberFormat="1" applyFont="1" applyFill="1" applyBorder="1" applyAlignment="1">
      <alignment horizontal="left" vertical="center" wrapText="1"/>
    </xf>
    <xf numFmtId="1" fontId="4" fillId="0" borderId="7" xfId="1" applyNumberFormat="1" applyFont="1" applyFill="1" applyBorder="1" applyAlignment="1">
      <alignment horizontal="left" vertical="center" wrapText="1"/>
    </xf>
    <xf numFmtId="1" fontId="4" fillId="0" borderId="11" xfId="1" applyNumberFormat="1" applyFont="1" applyFill="1" applyBorder="1" applyAlignment="1">
      <alignment horizontal="left" vertical="center" wrapText="1"/>
    </xf>
    <xf numFmtId="1" fontId="4" fillId="0" borderId="5" xfId="1" applyNumberFormat="1" applyFont="1" applyFill="1" applyBorder="1" applyAlignment="1">
      <alignment horizontal="left" vertical="center" wrapText="1"/>
    </xf>
    <xf numFmtId="1" fontId="4" fillId="0" borderId="8" xfId="1" applyNumberFormat="1" applyFont="1" applyFill="1" applyBorder="1" applyAlignment="1">
      <alignment horizontal="left" vertical="center" wrapText="1"/>
    </xf>
    <xf numFmtId="0" fontId="4" fillId="0" borderId="13" xfId="1" applyNumberFormat="1" applyFont="1" applyFill="1" applyBorder="1" applyAlignment="1">
      <alignment horizontal="left" vertical="center" wrapText="1"/>
    </xf>
    <xf numFmtId="0" fontId="4" fillId="0" borderId="14" xfId="1" applyNumberFormat="1" applyFont="1" applyFill="1" applyBorder="1" applyAlignment="1">
      <alignment horizontal="left" vertical="center" wrapText="1"/>
    </xf>
    <xf numFmtId="0" fontId="4" fillId="4" borderId="12" xfId="1" applyNumberFormat="1" applyFont="1" applyFill="1" applyBorder="1" applyAlignment="1">
      <alignment horizontal="left" vertical="center" wrapText="1"/>
    </xf>
    <xf numFmtId="165" fontId="4" fillId="0" borderId="4" xfId="1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4" fontId="4" fillId="0" borderId="5" xfId="1" applyNumberFormat="1" applyFont="1" applyFill="1" applyBorder="1" applyAlignment="1">
      <alignment horizontal="left" vertical="center" wrapText="1"/>
    </xf>
    <xf numFmtId="164" fontId="4" fillId="0" borderId="8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1" applyNumberFormat="1" applyFont="1" applyFill="1" applyBorder="1" applyAlignment="1">
      <alignment horizontal="left" vertical="center" wrapText="1"/>
    </xf>
    <xf numFmtId="0" fontId="4" fillId="0" borderId="2" xfId="1" applyNumberFormat="1" applyFont="1" applyFill="1" applyBorder="1" applyAlignment="1">
      <alignment horizontal="left" vertical="center" wrapText="1"/>
    </xf>
    <xf numFmtId="0" fontId="4" fillId="0" borderId="3" xfId="1" applyNumberFormat="1" applyFont="1" applyFill="1" applyBorder="1" applyAlignment="1">
      <alignment horizontal="left" vertical="center" wrapText="1"/>
    </xf>
    <xf numFmtId="22" fontId="0" fillId="0" borderId="0" xfId="0" applyNumberFormat="1"/>
    <xf numFmtId="164" fontId="0" fillId="0" borderId="0" xfId="1" applyNumberFormat="1" applyFont="1" applyFill="1" applyBorder="1" applyAlignment="1">
      <alignment horizontal="left" vertical="center" wrapText="1"/>
    </xf>
    <xf numFmtId="0" fontId="0" fillId="0" borderId="0" xfId="1" applyNumberFormat="1" applyFont="1" applyFill="1" applyBorder="1" applyAlignment="1">
      <alignment horizontal="left" vertical="center" wrapText="1"/>
    </xf>
    <xf numFmtId="0" fontId="0" fillId="0" borderId="5" xfId="1" applyNumberFormat="1" applyFont="1" applyFill="1" applyBorder="1" applyAlignment="1">
      <alignment horizontal="left" vertical="center" wrapText="1"/>
    </xf>
    <xf numFmtId="164" fontId="0" fillId="0" borderId="7" xfId="1" applyNumberFormat="1" applyFont="1" applyFill="1" applyBorder="1" applyAlignment="1">
      <alignment horizontal="left" vertical="center" wrapText="1"/>
    </xf>
    <xf numFmtId="0" fontId="0" fillId="0" borderId="7" xfId="1" applyNumberFormat="1" applyFont="1" applyFill="1" applyBorder="1" applyAlignment="1">
      <alignment horizontal="left" vertical="center" wrapText="1"/>
    </xf>
    <xf numFmtId="0" fontId="0" fillId="0" borderId="8" xfId="1" applyNumberFormat="1" applyFont="1" applyFill="1" applyBorder="1" applyAlignment="1">
      <alignment horizontal="left" vertical="center" wrapText="1"/>
    </xf>
    <xf numFmtId="165" fontId="0" fillId="0" borderId="5" xfId="1" applyNumberFormat="1" applyFont="1" applyFill="1" applyBorder="1" applyAlignment="1">
      <alignment horizontal="left" vertical="center" wrapText="1"/>
    </xf>
    <xf numFmtId="165" fontId="0" fillId="0" borderId="8" xfId="1" applyNumberFormat="1" applyFont="1" applyFill="1" applyBorder="1" applyAlignment="1">
      <alignment horizontal="left" vertical="center" wrapText="1"/>
    </xf>
    <xf numFmtId="165" fontId="0" fillId="0" borderId="0" xfId="1" applyNumberFormat="1" applyFont="1" applyFill="1" applyBorder="1" applyAlignment="1">
      <alignment horizontal="left" vertical="center" wrapText="1"/>
    </xf>
    <xf numFmtId="2" fontId="0" fillId="0" borderId="0" xfId="0" applyNumberFormat="1" applyFill="1"/>
    <xf numFmtId="2" fontId="0" fillId="0" borderId="0" xfId="0" applyNumberFormat="1"/>
    <xf numFmtId="2" fontId="6" fillId="0" borderId="0" xfId="0" applyNumberFormat="1" applyFont="1" applyFill="1" applyAlignment="1">
      <alignment horizontal="center"/>
    </xf>
    <xf numFmtId="0" fontId="1" fillId="2" borderId="1" xfId="1" applyNumberFormat="1" applyFont="1" applyFill="1" applyBorder="1" applyAlignment="1">
      <alignment horizontal="left" vertical="center" wrapText="1"/>
    </xf>
    <xf numFmtId="0" fontId="1" fillId="2" borderId="2" xfId="1" applyNumberFormat="1" applyFont="1" applyFill="1" applyBorder="1" applyAlignment="1">
      <alignment horizontal="left" vertical="center" wrapText="1"/>
    </xf>
    <xf numFmtId="0" fontId="1" fillId="2" borderId="3" xfId="1" applyNumberFormat="1" applyFont="1" applyFill="1" applyBorder="1" applyAlignment="1">
      <alignment horizontal="left" vertical="center" wrapText="1"/>
    </xf>
    <xf numFmtId="0" fontId="2" fillId="3" borderId="1" xfId="1" applyNumberFormat="1" applyFont="1" applyFill="1" applyBorder="1" applyAlignment="1">
      <alignment horizontal="left" vertical="center" wrapText="1"/>
    </xf>
    <xf numFmtId="0" fontId="2" fillId="3" borderId="2" xfId="1" applyNumberFormat="1" applyFont="1" applyFill="1" applyBorder="1" applyAlignment="1">
      <alignment horizontal="left" vertical="center" wrapText="1"/>
    </xf>
    <xf numFmtId="0" fontId="2" fillId="3" borderId="3" xfId="1" applyNumberFormat="1" applyFont="1" applyFill="1" applyBorder="1" applyAlignment="1">
      <alignment horizontal="left" vertical="center" wrapText="1"/>
    </xf>
  </cellXfs>
  <cellStyles count="2">
    <cellStyle name="Normal" xfId="1"/>
    <cellStyle name="Обычный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1048576" headerRowDxfId="3">
  <sortState ref="A2:S501">
    <sortCondition ref="A1"/>
  </sortState>
  <tableColumns count="19">
    <tableColumn id="1" name="attempt_id"/>
    <tableColumn id="2" name="student_id"/>
    <tableColumn id="3" name="surname"/>
    <tableColumn id="4" name="name"/>
    <tableColumn id="6" name="faculty"/>
    <tableColumn id="7" name="group"/>
    <tableColumn id="8" name="course_id"/>
    <tableColumn id="9" name="course_name"/>
    <tableColumn id="10" name="quiz_id"/>
    <tableColumn id="11" name="quiz_name"/>
    <tableColumn id="12" name="attempt_no"/>
    <tableColumn id="13" name="start_time"/>
    <tableColumn id="14" name="finish_time"/>
    <tableColumn id="15" name="duration_sec"/>
    <tableColumn id="16" name="raw_score"/>
    <tableColumn id="17" name="max_score"/>
    <tableColumn id="18" name="percent" dataDxfId="2"/>
    <tableColumn id="19" name="result"/>
    <tableColumn id="20" name="correct_answe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_1" ref="A1:H15" headerRowDxfId="1">
  <tableColumns count="8">
    <tableColumn id="1" name="attempt_id"/>
    <tableColumn id="2" name="question_no"/>
    <tableColumn id="3" name="question_text"/>
    <tableColumn id="4" name="question_type"/>
    <tableColumn id="5" name="student_answer"/>
    <tableColumn id="6" name="correct_answer"/>
    <tableColumn id="7" name="is_correct"/>
    <tableColumn id="8" name="question_scor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_2" ref="A3:H7" headerRowDxfId="0">
  <tableColumns count="8">
    <tableColumn id="1" name="student_id"/>
    <tableColumn id="2" name="ФИО"/>
    <tableColumn id="3" name="Факультет"/>
    <tableColumn id="4" name="Группа"/>
    <tableColumn id="5" name="Попыток"/>
    <tableColumn id="6" name="Средний %"/>
    <tableColumn id="7" name="Лучший %"/>
    <tableColumn id="8" name="Последняя попытк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tabSelected="1" zoomScale="85" zoomScaleNormal="85" workbookViewId="0">
      <selection sqref="A1:A1048576"/>
    </sheetView>
  </sheetViews>
  <sheetFormatPr defaultRowHeight="14.25"/>
  <cols>
    <col min="1" max="2" width="10" customWidth="1"/>
    <col min="3" max="3" width="14" customWidth="1"/>
    <col min="4" max="4" width="12" customWidth="1"/>
    <col min="5" max="7" width="10" customWidth="1"/>
    <col min="8" max="8" width="16" customWidth="1"/>
    <col min="9" max="9" width="10" customWidth="1"/>
    <col min="10" max="10" width="18" customWidth="1"/>
    <col min="11" max="11" width="10" customWidth="1"/>
    <col min="12" max="13" width="20" customWidth="1"/>
    <col min="14" max="14" width="11.625" bestFit="1" customWidth="1"/>
    <col min="15" max="16" width="10" customWidth="1"/>
    <col min="17" max="17" width="9" style="45"/>
    <col min="18" max="18" width="12" customWidth="1"/>
    <col min="19" max="19" width="15.125" bestFit="1" customWidth="1"/>
    <col min="20" max="20" width="9" style="45"/>
  </cols>
  <sheetData>
    <row r="1" spans="1:20" s="30" customFormat="1" ht="15" customHeight="1">
      <c r="A1" s="27" t="s">
        <v>51</v>
      </c>
      <c r="B1" s="28" t="s">
        <v>52</v>
      </c>
      <c r="C1" s="28" t="s">
        <v>53</v>
      </c>
      <c r="D1" s="28" t="s">
        <v>54</v>
      </c>
      <c r="E1" s="28" t="s">
        <v>55</v>
      </c>
      <c r="F1" s="28" t="s">
        <v>56</v>
      </c>
      <c r="G1" s="28" t="s">
        <v>57</v>
      </c>
      <c r="H1" s="28" t="s">
        <v>58</v>
      </c>
      <c r="I1" s="28" t="s">
        <v>59</v>
      </c>
      <c r="J1" s="28" t="s">
        <v>60</v>
      </c>
      <c r="K1" s="28" t="s">
        <v>61</v>
      </c>
      <c r="L1" s="28" t="s">
        <v>62</v>
      </c>
      <c r="M1" s="28" t="s">
        <v>63</v>
      </c>
      <c r="N1" s="28" t="s">
        <v>64</v>
      </c>
      <c r="O1" s="28" t="s">
        <v>65</v>
      </c>
      <c r="P1" s="28" t="s">
        <v>66</v>
      </c>
      <c r="Q1" s="46" t="s">
        <v>67</v>
      </c>
      <c r="R1" s="28" t="s">
        <v>68</v>
      </c>
      <c r="S1" s="28" t="s">
        <v>69</v>
      </c>
      <c r="T1" s="44"/>
    </row>
    <row r="2" spans="1:20">
      <c r="A2">
        <v>2000</v>
      </c>
      <c r="B2">
        <v>3000</v>
      </c>
      <c r="C2" t="s">
        <v>155</v>
      </c>
      <c r="D2" t="s">
        <v>156</v>
      </c>
      <c r="E2" t="s">
        <v>275</v>
      </c>
      <c r="F2" t="s">
        <v>157</v>
      </c>
      <c r="G2">
        <v>721</v>
      </c>
      <c r="H2" t="s">
        <v>287</v>
      </c>
      <c r="I2">
        <v>488</v>
      </c>
      <c r="J2" t="s">
        <v>158</v>
      </c>
      <c r="K2">
        <v>2</v>
      </c>
      <c r="L2" s="34">
        <v>45862.524305555555</v>
      </c>
      <c r="M2" s="34">
        <v>45862.527777777781</v>
      </c>
      <c r="N2">
        <v>299</v>
      </c>
      <c r="O2">
        <v>61</v>
      </c>
      <c r="P2">
        <v>96</v>
      </c>
      <c r="Q2" s="45">
        <v>54.157038736991488</v>
      </c>
      <c r="R2" t="s">
        <v>75</v>
      </c>
      <c r="S2">
        <v>15</v>
      </c>
    </row>
    <row r="3" spans="1:20">
      <c r="A3">
        <v>2001</v>
      </c>
      <c r="B3">
        <v>3001</v>
      </c>
      <c r="C3" t="s">
        <v>159</v>
      </c>
      <c r="D3" t="s">
        <v>156</v>
      </c>
      <c r="E3" t="s">
        <v>160</v>
      </c>
      <c r="F3" t="s">
        <v>161</v>
      </c>
      <c r="G3">
        <v>666</v>
      </c>
      <c r="H3" t="s">
        <v>292</v>
      </c>
      <c r="I3">
        <v>500</v>
      </c>
      <c r="J3" t="s">
        <v>162</v>
      </c>
      <c r="K3">
        <v>3</v>
      </c>
      <c r="L3" s="34">
        <v>45740.631249999999</v>
      </c>
      <c r="M3" s="34">
        <v>45740.633333333331</v>
      </c>
      <c r="N3">
        <v>188</v>
      </c>
      <c r="O3">
        <v>76</v>
      </c>
      <c r="P3">
        <v>71</v>
      </c>
      <c r="Q3" s="45">
        <v>33.097246655022232</v>
      </c>
      <c r="R3" t="s">
        <v>75</v>
      </c>
      <c r="S3">
        <v>38</v>
      </c>
    </row>
    <row r="4" spans="1:20">
      <c r="A4">
        <v>2002</v>
      </c>
      <c r="B4">
        <v>3002</v>
      </c>
      <c r="C4" t="s">
        <v>163</v>
      </c>
      <c r="D4" t="s">
        <v>164</v>
      </c>
      <c r="E4" t="s">
        <v>275</v>
      </c>
      <c r="F4" t="s">
        <v>165</v>
      </c>
      <c r="G4">
        <v>442</v>
      </c>
      <c r="H4" t="s">
        <v>302</v>
      </c>
      <c r="I4">
        <v>615</v>
      </c>
      <c r="J4" t="s">
        <v>166</v>
      </c>
      <c r="K4">
        <v>2</v>
      </c>
      <c r="L4" s="34">
        <v>45732.939583333333</v>
      </c>
      <c r="M4" s="34">
        <v>45732.94027777778</v>
      </c>
      <c r="N4">
        <v>66</v>
      </c>
      <c r="O4">
        <v>54</v>
      </c>
      <c r="P4">
        <v>63</v>
      </c>
      <c r="Q4" s="45">
        <v>23.393744183323861</v>
      </c>
      <c r="R4" t="s">
        <v>75</v>
      </c>
      <c r="S4">
        <v>36</v>
      </c>
    </row>
    <row r="5" spans="1:20">
      <c r="A5">
        <v>2003</v>
      </c>
      <c r="B5">
        <v>3003</v>
      </c>
      <c r="C5" t="s">
        <v>167</v>
      </c>
      <c r="D5" t="s">
        <v>168</v>
      </c>
      <c r="E5" t="s">
        <v>169</v>
      </c>
      <c r="F5" t="s">
        <v>170</v>
      </c>
      <c r="G5">
        <v>284</v>
      </c>
      <c r="H5" t="s">
        <v>301</v>
      </c>
      <c r="I5">
        <v>209</v>
      </c>
      <c r="J5" t="s">
        <v>171</v>
      </c>
      <c r="K5">
        <v>2</v>
      </c>
      <c r="L5" s="34">
        <v>45667.793749999997</v>
      </c>
      <c r="M5" s="34">
        <v>45667.8</v>
      </c>
      <c r="N5">
        <v>541</v>
      </c>
      <c r="O5">
        <v>68</v>
      </c>
      <c r="P5">
        <v>80</v>
      </c>
      <c r="Q5" s="45">
        <v>92.544286781894343</v>
      </c>
      <c r="R5" t="s">
        <v>75</v>
      </c>
      <c r="S5">
        <v>41</v>
      </c>
    </row>
    <row r="6" spans="1:20">
      <c r="A6">
        <v>2004</v>
      </c>
      <c r="B6">
        <v>3004</v>
      </c>
      <c r="C6" t="s">
        <v>172</v>
      </c>
      <c r="D6" t="s">
        <v>164</v>
      </c>
      <c r="E6" t="s">
        <v>274</v>
      </c>
      <c r="F6" t="s">
        <v>173</v>
      </c>
      <c r="G6">
        <v>720</v>
      </c>
      <c r="H6" t="s">
        <v>287</v>
      </c>
      <c r="I6">
        <v>374</v>
      </c>
      <c r="J6" t="s">
        <v>174</v>
      </c>
      <c r="K6">
        <v>1</v>
      </c>
      <c r="L6" s="34">
        <v>45971.538194444445</v>
      </c>
      <c r="M6" s="34">
        <v>45971.540972222225</v>
      </c>
      <c r="N6">
        <v>259</v>
      </c>
      <c r="O6">
        <v>74</v>
      </c>
      <c r="P6">
        <v>53</v>
      </c>
      <c r="Q6" s="45">
        <v>43.228716372816891</v>
      </c>
      <c r="R6" t="s">
        <v>75</v>
      </c>
      <c r="S6">
        <v>44</v>
      </c>
    </row>
    <row r="7" spans="1:20">
      <c r="A7">
        <v>2005</v>
      </c>
      <c r="B7">
        <v>3005</v>
      </c>
      <c r="C7" t="s">
        <v>175</v>
      </c>
      <c r="D7" t="s">
        <v>176</v>
      </c>
      <c r="E7" t="s">
        <v>177</v>
      </c>
      <c r="F7" t="s">
        <v>178</v>
      </c>
      <c r="G7">
        <v>818</v>
      </c>
      <c r="H7" t="s">
        <v>278</v>
      </c>
      <c r="I7">
        <v>656</v>
      </c>
      <c r="J7" t="s">
        <v>179</v>
      </c>
      <c r="K7">
        <v>3</v>
      </c>
      <c r="L7" s="34">
        <v>45937.745138888888</v>
      </c>
      <c r="M7" s="34">
        <v>45937.74722222222</v>
      </c>
      <c r="N7">
        <v>154</v>
      </c>
      <c r="O7">
        <v>6</v>
      </c>
      <c r="P7">
        <v>59</v>
      </c>
      <c r="Q7" s="45">
        <v>34.472248170323994</v>
      </c>
      <c r="R7" t="s">
        <v>82</v>
      </c>
      <c r="S7">
        <v>36</v>
      </c>
    </row>
    <row r="8" spans="1:20">
      <c r="A8">
        <v>2006</v>
      </c>
      <c r="B8">
        <v>3006</v>
      </c>
      <c r="C8" t="s">
        <v>163</v>
      </c>
      <c r="D8" t="s">
        <v>180</v>
      </c>
      <c r="E8" t="s">
        <v>275</v>
      </c>
      <c r="F8" t="s">
        <v>181</v>
      </c>
      <c r="G8">
        <v>381</v>
      </c>
      <c r="H8" t="s">
        <v>294</v>
      </c>
      <c r="I8">
        <v>740</v>
      </c>
      <c r="J8" t="s">
        <v>182</v>
      </c>
      <c r="K8">
        <v>3</v>
      </c>
      <c r="L8" s="34">
        <v>45863.857638888891</v>
      </c>
      <c r="M8" s="34">
        <v>45863.859722222223</v>
      </c>
      <c r="N8">
        <v>187</v>
      </c>
      <c r="O8">
        <v>74</v>
      </c>
      <c r="P8">
        <v>90</v>
      </c>
      <c r="Q8" s="45">
        <v>38.702559030779852</v>
      </c>
      <c r="R8" t="s">
        <v>75</v>
      </c>
      <c r="S8">
        <v>40</v>
      </c>
    </row>
    <row r="9" spans="1:20">
      <c r="A9">
        <v>2007</v>
      </c>
      <c r="B9">
        <v>3007</v>
      </c>
      <c r="C9" t="s">
        <v>183</v>
      </c>
      <c r="D9" t="s">
        <v>180</v>
      </c>
      <c r="E9" t="s">
        <v>177</v>
      </c>
      <c r="F9" t="s">
        <v>184</v>
      </c>
      <c r="G9">
        <v>537</v>
      </c>
      <c r="H9" t="s">
        <v>302</v>
      </c>
      <c r="I9">
        <v>798</v>
      </c>
      <c r="J9" t="s">
        <v>185</v>
      </c>
      <c r="K9">
        <v>2</v>
      </c>
      <c r="L9" s="34">
        <v>45769.913888888892</v>
      </c>
      <c r="M9" s="34">
        <v>45769.915972222225</v>
      </c>
      <c r="N9">
        <v>174</v>
      </c>
      <c r="O9">
        <v>2</v>
      </c>
      <c r="P9">
        <v>74</v>
      </c>
      <c r="Q9" s="45">
        <v>16.405894518318334</v>
      </c>
      <c r="R9" t="s">
        <v>82</v>
      </c>
      <c r="S9">
        <v>17</v>
      </c>
    </row>
    <row r="10" spans="1:20">
      <c r="A10">
        <v>2008</v>
      </c>
      <c r="B10">
        <v>3008</v>
      </c>
      <c r="C10" t="s">
        <v>78</v>
      </c>
      <c r="D10" t="s">
        <v>186</v>
      </c>
      <c r="E10" t="s">
        <v>187</v>
      </c>
      <c r="F10" t="s">
        <v>157</v>
      </c>
      <c r="G10">
        <v>404</v>
      </c>
      <c r="H10" t="s">
        <v>303</v>
      </c>
      <c r="I10">
        <v>634</v>
      </c>
      <c r="J10" t="s">
        <v>179</v>
      </c>
      <c r="K10">
        <v>1</v>
      </c>
      <c r="L10" s="34">
        <v>45741.965277777781</v>
      </c>
      <c r="M10" s="34">
        <v>45741.970833333333</v>
      </c>
      <c r="N10">
        <v>502</v>
      </c>
      <c r="O10">
        <v>94</v>
      </c>
      <c r="P10">
        <v>81</v>
      </c>
      <c r="Q10" s="45">
        <v>73.73182576092843</v>
      </c>
      <c r="R10" t="s">
        <v>75</v>
      </c>
      <c r="S10">
        <v>39</v>
      </c>
    </row>
    <row r="11" spans="1:20">
      <c r="A11">
        <v>2009</v>
      </c>
      <c r="B11">
        <v>3009</v>
      </c>
      <c r="C11" t="s">
        <v>188</v>
      </c>
      <c r="D11" t="s">
        <v>189</v>
      </c>
      <c r="E11" t="s">
        <v>169</v>
      </c>
      <c r="F11" t="s">
        <v>181</v>
      </c>
      <c r="G11">
        <v>943</v>
      </c>
      <c r="H11" t="s">
        <v>279</v>
      </c>
      <c r="I11">
        <v>692</v>
      </c>
      <c r="J11" t="s">
        <v>182</v>
      </c>
      <c r="K11">
        <v>3</v>
      </c>
      <c r="L11" s="34">
        <v>45783.957638888889</v>
      </c>
      <c r="M11" s="34">
        <v>45783.964583333334</v>
      </c>
      <c r="N11">
        <v>598</v>
      </c>
      <c r="O11">
        <v>7</v>
      </c>
      <c r="P11">
        <v>51</v>
      </c>
      <c r="Q11" s="45">
        <v>100</v>
      </c>
      <c r="R11" t="s">
        <v>82</v>
      </c>
      <c r="S11">
        <v>20</v>
      </c>
    </row>
    <row r="12" spans="1:20">
      <c r="A12">
        <v>2010</v>
      </c>
      <c r="B12">
        <v>3010</v>
      </c>
      <c r="C12" t="s">
        <v>190</v>
      </c>
      <c r="D12" t="s">
        <v>191</v>
      </c>
      <c r="E12" t="s">
        <v>169</v>
      </c>
      <c r="F12" t="s">
        <v>192</v>
      </c>
      <c r="G12">
        <v>147</v>
      </c>
      <c r="H12" t="s">
        <v>280</v>
      </c>
      <c r="I12">
        <v>926</v>
      </c>
      <c r="J12" t="s">
        <v>193</v>
      </c>
      <c r="K12">
        <v>2</v>
      </c>
      <c r="L12" s="34">
        <v>45951.867361111108</v>
      </c>
      <c r="M12" s="34">
        <v>45951.868750000001</v>
      </c>
      <c r="N12">
        <v>85</v>
      </c>
      <c r="O12">
        <v>84</v>
      </c>
      <c r="P12">
        <v>81</v>
      </c>
      <c r="Q12" s="45">
        <v>25.988120191513463</v>
      </c>
      <c r="R12" t="s">
        <v>75</v>
      </c>
      <c r="S12">
        <v>12</v>
      </c>
    </row>
    <row r="13" spans="1:20">
      <c r="A13">
        <v>2011</v>
      </c>
      <c r="B13">
        <v>3011</v>
      </c>
      <c r="C13" t="s">
        <v>194</v>
      </c>
      <c r="D13" t="s">
        <v>195</v>
      </c>
      <c r="E13" t="s">
        <v>187</v>
      </c>
      <c r="F13" t="s">
        <v>165</v>
      </c>
      <c r="G13">
        <v>141</v>
      </c>
      <c r="H13" t="s">
        <v>301</v>
      </c>
      <c r="I13">
        <v>841</v>
      </c>
      <c r="J13" t="s">
        <v>196</v>
      </c>
      <c r="K13">
        <v>1</v>
      </c>
      <c r="L13" s="34">
        <v>45818.825694444444</v>
      </c>
      <c r="M13" s="34">
        <v>45818.829861111109</v>
      </c>
      <c r="N13">
        <v>381</v>
      </c>
      <c r="O13">
        <v>70</v>
      </c>
      <c r="P13">
        <v>66</v>
      </c>
      <c r="Q13" s="45">
        <v>67.8766912078204</v>
      </c>
      <c r="R13" t="s">
        <v>75</v>
      </c>
      <c r="S13">
        <v>6</v>
      </c>
    </row>
    <row r="14" spans="1:20">
      <c r="A14">
        <v>2012</v>
      </c>
      <c r="B14">
        <v>3012</v>
      </c>
      <c r="C14" t="s">
        <v>172</v>
      </c>
      <c r="D14" t="s">
        <v>189</v>
      </c>
      <c r="E14" t="s">
        <v>197</v>
      </c>
      <c r="F14" t="s">
        <v>181</v>
      </c>
      <c r="G14">
        <v>690</v>
      </c>
      <c r="H14" t="s">
        <v>298</v>
      </c>
      <c r="I14">
        <v>368</v>
      </c>
      <c r="J14" t="s">
        <v>198</v>
      </c>
      <c r="K14">
        <v>2</v>
      </c>
      <c r="L14" s="34">
        <v>45777.521527777775</v>
      </c>
      <c r="M14" s="34">
        <v>45777.52847222222</v>
      </c>
      <c r="N14">
        <v>581</v>
      </c>
      <c r="O14">
        <v>85</v>
      </c>
      <c r="P14">
        <v>67</v>
      </c>
      <c r="Q14" s="45">
        <v>93.329033495451611</v>
      </c>
      <c r="R14" t="s">
        <v>75</v>
      </c>
      <c r="S14">
        <v>38</v>
      </c>
    </row>
    <row r="15" spans="1:20">
      <c r="A15">
        <v>2013</v>
      </c>
      <c r="B15">
        <v>3013</v>
      </c>
      <c r="C15" t="s">
        <v>199</v>
      </c>
      <c r="D15" t="s">
        <v>84</v>
      </c>
      <c r="E15" t="s">
        <v>160</v>
      </c>
      <c r="F15" t="s">
        <v>200</v>
      </c>
      <c r="G15">
        <v>640</v>
      </c>
      <c r="H15" t="s">
        <v>288</v>
      </c>
      <c r="I15">
        <v>465</v>
      </c>
      <c r="J15" t="s">
        <v>201</v>
      </c>
      <c r="K15">
        <v>1</v>
      </c>
      <c r="L15" s="34">
        <v>45924.836805555555</v>
      </c>
      <c r="M15" s="34">
        <v>45924.843055555553</v>
      </c>
      <c r="N15">
        <v>553</v>
      </c>
      <c r="O15">
        <v>42</v>
      </c>
      <c r="P15">
        <v>96</v>
      </c>
      <c r="Q15" s="45">
        <v>99.416436215520676</v>
      </c>
      <c r="R15" t="s">
        <v>82</v>
      </c>
      <c r="S15">
        <v>18</v>
      </c>
    </row>
    <row r="16" spans="1:20">
      <c r="A16">
        <v>2014</v>
      </c>
      <c r="B16">
        <v>3014</v>
      </c>
      <c r="C16" t="s">
        <v>175</v>
      </c>
      <c r="D16" t="s">
        <v>202</v>
      </c>
      <c r="E16" t="s">
        <v>187</v>
      </c>
      <c r="F16" t="s">
        <v>203</v>
      </c>
      <c r="G16">
        <v>312</v>
      </c>
      <c r="H16" t="s">
        <v>286</v>
      </c>
      <c r="I16">
        <v>176</v>
      </c>
      <c r="J16" t="s">
        <v>204</v>
      </c>
      <c r="K16">
        <v>2</v>
      </c>
      <c r="L16" s="34">
        <v>45885.883333333331</v>
      </c>
      <c r="M16" s="34">
        <v>45885.886111111111</v>
      </c>
      <c r="N16">
        <v>235</v>
      </c>
      <c r="O16">
        <v>23</v>
      </c>
      <c r="P16">
        <v>61</v>
      </c>
      <c r="Q16" s="45">
        <v>64.470648392188636</v>
      </c>
      <c r="R16" t="s">
        <v>82</v>
      </c>
      <c r="S16">
        <v>6</v>
      </c>
    </row>
    <row r="17" spans="1:19">
      <c r="A17">
        <v>2015</v>
      </c>
      <c r="B17">
        <v>3015</v>
      </c>
      <c r="C17" t="s">
        <v>163</v>
      </c>
      <c r="D17" t="s">
        <v>164</v>
      </c>
      <c r="E17" t="s">
        <v>205</v>
      </c>
      <c r="F17" t="s">
        <v>181</v>
      </c>
      <c r="G17">
        <v>795</v>
      </c>
      <c r="H17" t="s">
        <v>288</v>
      </c>
      <c r="I17">
        <v>167</v>
      </c>
      <c r="J17" t="s">
        <v>204</v>
      </c>
      <c r="K17">
        <v>2</v>
      </c>
      <c r="L17" s="34">
        <v>45770.74722222222</v>
      </c>
      <c r="M17" s="34">
        <v>45770.754166666666</v>
      </c>
      <c r="N17">
        <v>587</v>
      </c>
      <c r="O17">
        <v>6</v>
      </c>
      <c r="P17">
        <v>63</v>
      </c>
      <c r="Q17" s="45">
        <v>100</v>
      </c>
      <c r="R17" t="s">
        <v>82</v>
      </c>
      <c r="S17">
        <v>8</v>
      </c>
    </row>
    <row r="18" spans="1:19">
      <c r="A18">
        <v>2016</v>
      </c>
      <c r="B18">
        <v>3016</v>
      </c>
      <c r="C18" t="s">
        <v>206</v>
      </c>
      <c r="D18" t="s">
        <v>207</v>
      </c>
      <c r="E18" t="s">
        <v>169</v>
      </c>
      <c r="F18" t="s">
        <v>200</v>
      </c>
      <c r="G18">
        <v>556</v>
      </c>
      <c r="H18" t="s">
        <v>288</v>
      </c>
      <c r="I18">
        <v>599</v>
      </c>
      <c r="J18" t="s">
        <v>208</v>
      </c>
      <c r="K18">
        <v>1</v>
      </c>
      <c r="L18" s="34">
        <v>45689.865972222222</v>
      </c>
      <c r="M18" s="34">
        <v>45689.870138888888</v>
      </c>
      <c r="N18">
        <v>338</v>
      </c>
      <c r="O18">
        <v>76</v>
      </c>
      <c r="P18">
        <v>57</v>
      </c>
      <c r="Q18" s="45">
        <v>51.842567713547382</v>
      </c>
      <c r="R18" t="s">
        <v>75</v>
      </c>
      <c r="S18">
        <v>35</v>
      </c>
    </row>
    <row r="19" spans="1:19">
      <c r="A19">
        <v>2017</v>
      </c>
      <c r="B19">
        <v>3017</v>
      </c>
      <c r="C19" t="s">
        <v>163</v>
      </c>
      <c r="D19" t="s">
        <v>207</v>
      </c>
      <c r="E19" t="s">
        <v>160</v>
      </c>
      <c r="F19" t="s">
        <v>192</v>
      </c>
      <c r="G19">
        <v>779</v>
      </c>
      <c r="H19" t="s">
        <v>288</v>
      </c>
      <c r="I19">
        <v>454</v>
      </c>
      <c r="J19" t="s">
        <v>208</v>
      </c>
      <c r="K19">
        <v>2</v>
      </c>
      <c r="L19" s="34">
        <v>45940.668749999997</v>
      </c>
      <c r="M19" s="34">
        <v>45940.670138888891</v>
      </c>
      <c r="N19">
        <v>109</v>
      </c>
      <c r="O19">
        <v>90</v>
      </c>
      <c r="P19">
        <v>55</v>
      </c>
      <c r="Q19" s="45">
        <v>27.713881236815972</v>
      </c>
      <c r="R19" t="s">
        <v>75</v>
      </c>
      <c r="S19">
        <v>37</v>
      </c>
    </row>
    <row r="20" spans="1:19">
      <c r="A20">
        <v>2018</v>
      </c>
      <c r="B20">
        <v>3018</v>
      </c>
      <c r="C20" t="s">
        <v>188</v>
      </c>
      <c r="D20" t="s">
        <v>70</v>
      </c>
      <c r="E20" t="s">
        <v>209</v>
      </c>
      <c r="F20" t="s">
        <v>157</v>
      </c>
      <c r="G20">
        <v>413</v>
      </c>
      <c r="H20" t="s">
        <v>287</v>
      </c>
      <c r="I20">
        <v>781</v>
      </c>
      <c r="J20" t="s">
        <v>210</v>
      </c>
      <c r="K20">
        <v>2</v>
      </c>
      <c r="L20" s="34">
        <v>45963.436111111114</v>
      </c>
      <c r="M20" s="34">
        <v>45963.439583333333</v>
      </c>
      <c r="N20">
        <v>290</v>
      </c>
      <c r="O20">
        <v>31</v>
      </c>
      <c r="P20">
        <v>73</v>
      </c>
      <c r="Q20" s="45">
        <v>48.13300778226558</v>
      </c>
      <c r="R20" t="s">
        <v>82</v>
      </c>
      <c r="S20">
        <v>12</v>
      </c>
    </row>
    <row r="21" spans="1:19">
      <c r="A21">
        <v>2019</v>
      </c>
      <c r="B21">
        <v>3019</v>
      </c>
      <c r="C21" t="s">
        <v>167</v>
      </c>
      <c r="D21" t="s">
        <v>70</v>
      </c>
      <c r="E21" t="s">
        <v>209</v>
      </c>
      <c r="F21" t="s">
        <v>178</v>
      </c>
      <c r="G21">
        <v>728</v>
      </c>
      <c r="H21" t="s">
        <v>295</v>
      </c>
      <c r="I21">
        <v>592</v>
      </c>
      <c r="J21" t="s">
        <v>211</v>
      </c>
      <c r="K21">
        <v>2</v>
      </c>
      <c r="L21" s="34">
        <v>45732.654166666667</v>
      </c>
      <c r="M21" s="34">
        <v>45732.659722222219</v>
      </c>
      <c r="N21">
        <v>525</v>
      </c>
      <c r="O21">
        <v>79</v>
      </c>
      <c r="P21">
        <v>73</v>
      </c>
      <c r="Q21" s="45">
        <v>85.768455786396274</v>
      </c>
      <c r="R21" t="s">
        <v>75</v>
      </c>
      <c r="S21">
        <v>29</v>
      </c>
    </row>
    <row r="22" spans="1:19">
      <c r="A22">
        <v>2020</v>
      </c>
      <c r="B22">
        <v>3020</v>
      </c>
      <c r="C22" t="s">
        <v>175</v>
      </c>
      <c r="D22" t="s">
        <v>70</v>
      </c>
      <c r="E22" t="s">
        <v>197</v>
      </c>
      <c r="F22" t="s">
        <v>212</v>
      </c>
      <c r="G22">
        <v>303</v>
      </c>
      <c r="H22" t="s">
        <v>282</v>
      </c>
      <c r="I22">
        <v>108</v>
      </c>
      <c r="J22" t="s">
        <v>213</v>
      </c>
      <c r="K22">
        <v>2</v>
      </c>
      <c r="L22" s="34">
        <v>45806.029166666667</v>
      </c>
      <c r="M22" s="34">
        <v>45806.035416666666</v>
      </c>
      <c r="N22">
        <v>517</v>
      </c>
      <c r="O22">
        <v>46</v>
      </c>
      <c r="P22">
        <v>57</v>
      </c>
      <c r="Q22" s="45">
        <v>78.632338048786679</v>
      </c>
      <c r="R22" t="s">
        <v>75</v>
      </c>
      <c r="S22">
        <v>10</v>
      </c>
    </row>
    <row r="23" spans="1:19">
      <c r="A23">
        <v>2021</v>
      </c>
      <c r="B23">
        <v>3021</v>
      </c>
      <c r="C23" t="s">
        <v>214</v>
      </c>
      <c r="D23" t="s">
        <v>215</v>
      </c>
      <c r="E23" t="s">
        <v>197</v>
      </c>
      <c r="F23" t="s">
        <v>216</v>
      </c>
      <c r="G23">
        <v>308</v>
      </c>
      <c r="H23" t="s">
        <v>304</v>
      </c>
      <c r="I23">
        <v>771</v>
      </c>
      <c r="J23" t="s">
        <v>208</v>
      </c>
      <c r="K23">
        <v>1</v>
      </c>
      <c r="L23" s="34">
        <v>45812.163194444445</v>
      </c>
      <c r="M23" s="34">
        <v>45812.165972222225</v>
      </c>
      <c r="N23">
        <v>224</v>
      </c>
      <c r="O23">
        <v>35</v>
      </c>
      <c r="P23">
        <v>54</v>
      </c>
      <c r="Q23" s="45">
        <v>45.574413769310887</v>
      </c>
      <c r="R23" t="s">
        <v>75</v>
      </c>
      <c r="S23">
        <v>11</v>
      </c>
    </row>
    <row r="24" spans="1:19">
      <c r="A24">
        <v>2022</v>
      </c>
      <c r="B24">
        <v>3022</v>
      </c>
      <c r="C24" t="s">
        <v>217</v>
      </c>
      <c r="D24" t="s">
        <v>215</v>
      </c>
      <c r="E24" t="s">
        <v>209</v>
      </c>
      <c r="F24" t="s">
        <v>216</v>
      </c>
      <c r="G24">
        <v>285</v>
      </c>
      <c r="H24" t="s">
        <v>288</v>
      </c>
      <c r="I24">
        <v>875</v>
      </c>
      <c r="J24" t="s">
        <v>218</v>
      </c>
      <c r="K24">
        <v>1</v>
      </c>
      <c r="L24" s="34">
        <v>45957.413194444445</v>
      </c>
      <c r="M24" s="34">
        <v>45957.420138888891</v>
      </c>
      <c r="N24">
        <v>562</v>
      </c>
      <c r="O24">
        <v>28</v>
      </c>
      <c r="P24">
        <v>55</v>
      </c>
      <c r="Q24" s="45">
        <v>86.743597779402677</v>
      </c>
      <c r="R24" t="s">
        <v>82</v>
      </c>
      <c r="S24">
        <v>14</v>
      </c>
    </row>
    <row r="25" spans="1:19">
      <c r="A25">
        <v>2023</v>
      </c>
      <c r="B25">
        <v>3023</v>
      </c>
      <c r="C25" t="s">
        <v>155</v>
      </c>
      <c r="D25" t="s">
        <v>180</v>
      </c>
      <c r="E25" t="s">
        <v>160</v>
      </c>
      <c r="F25" t="s">
        <v>192</v>
      </c>
      <c r="G25">
        <v>208</v>
      </c>
      <c r="H25" t="s">
        <v>285</v>
      </c>
      <c r="I25">
        <v>221</v>
      </c>
      <c r="J25" t="s">
        <v>204</v>
      </c>
      <c r="K25">
        <v>1</v>
      </c>
      <c r="L25" s="34">
        <v>45724.245138888888</v>
      </c>
      <c r="M25" s="34">
        <v>45724.247916666667</v>
      </c>
      <c r="N25">
        <v>251</v>
      </c>
      <c r="O25">
        <v>24</v>
      </c>
      <c r="P25">
        <v>93</v>
      </c>
      <c r="Q25" s="45">
        <v>43.766326330477661</v>
      </c>
      <c r="R25" t="s">
        <v>82</v>
      </c>
      <c r="S25">
        <v>7</v>
      </c>
    </row>
    <row r="26" spans="1:19">
      <c r="A26">
        <v>2024</v>
      </c>
      <c r="B26">
        <v>3024</v>
      </c>
      <c r="C26" t="s">
        <v>188</v>
      </c>
      <c r="D26" t="s">
        <v>176</v>
      </c>
      <c r="E26" t="s">
        <v>275</v>
      </c>
      <c r="F26" t="s">
        <v>219</v>
      </c>
      <c r="G26">
        <v>977</v>
      </c>
      <c r="H26" t="s">
        <v>301</v>
      </c>
      <c r="I26">
        <v>643</v>
      </c>
      <c r="J26" t="s">
        <v>220</v>
      </c>
      <c r="K26">
        <v>3</v>
      </c>
      <c r="L26" s="34">
        <v>45932.584027777775</v>
      </c>
      <c r="M26" s="34">
        <v>45932.588888888888</v>
      </c>
      <c r="N26">
        <v>389</v>
      </c>
      <c r="O26">
        <v>18</v>
      </c>
      <c r="P26">
        <v>60</v>
      </c>
      <c r="Q26" s="45">
        <v>81.362212188387431</v>
      </c>
      <c r="R26" t="s">
        <v>82</v>
      </c>
      <c r="S26">
        <v>34</v>
      </c>
    </row>
    <row r="27" spans="1:19">
      <c r="A27">
        <v>2025</v>
      </c>
      <c r="B27">
        <v>3025</v>
      </c>
      <c r="C27" t="s">
        <v>199</v>
      </c>
      <c r="D27" t="s">
        <v>221</v>
      </c>
      <c r="E27" t="s">
        <v>177</v>
      </c>
      <c r="F27" t="s">
        <v>216</v>
      </c>
      <c r="G27">
        <v>623</v>
      </c>
      <c r="H27" t="s">
        <v>289</v>
      </c>
      <c r="I27">
        <v>604</v>
      </c>
      <c r="J27" t="s">
        <v>222</v>
      </c>
      <c r="K27">
        <v>3</v>
      </c>
      <c r="L27" s="34">
        <v>45764.477777777778</v>
      </c>
      <c r="M27" s="34">
        <v>45764.484027777777</v>
      </c>
      <c r="N27">
        <v>555</v>
      </c>
      <c r="O27">
        <v>16</v>
      </c>
      <c r="P27">
        <v>54</v>
      </c>
      <c r="Q27" s="45">
        <v>90.014804812650951</v>
      </c>
      <c r="R27" t="s">
        <v>82</v>
      </c>
      <c r="S27">
        <v>15</v>
      </c>
    </row>
    <row r="28" spans="1:19">
      <c r="A28">
        <v>2026</v>
      </c>
      <c r="B28">
        <v>3026</v>
      </c>
      <c r="C28" t="s">
        <v>223</v>
      </c>
      <c r="D28" t="s">
        <v>224</v>
      </c>
      <c r="E28" t="s">
        <v>209</v>
      </c>
      <c r="F28" t="s">
        <v>225</v>
      </c>
      <c r="G28">
        <v>949</v>
      </c>
      <c r="H28" t="s">
        <v>288</v>
      </c>
      <c r="I28">
        <v>747</v>
      </c>
      <c r="J28" t="s">
        <v>226</v>
      </c>
      <c r="K28">
        <v>2</v>
      </c>
      <c r="L28" s="34">
        <v>45745.888194444444</v>
      </c>
      <c r="M28" s="34">
        <v>45745.890277777777</v>
      </c>
      <c r="N28">
        <v>154</v>
      </c>
      <c r="O28">
        <v>16</v>
      </c>
      <c r="P28">
        <v>50</v>
      </c>
      <c r="Q28" s="45">
        <v>41.226739165790782</v>
      </c>
      <c r="R28" t="s">
        <v>82</v>
      </c>
      <c r="S28">
        <v>41</v>
      </c>
    </row>
    <row r="29" spans="1:19">
      <c r="A29">
        <v>2027</v>
      </c>
      <c r="B29">
        <v>3027</v>
      </c>
      <c r="C29" t="s">
        <v>155</v>
      </c>
      <c r="D29" t="s">
        <v>224</v>
      </c>
      <c r="E29" t="s">
        <v>205</v>
      </c>
      <c r="F29" t="s">
        <v>219</v>
      </c>
      <c r="G29">
        <v>889</v>
      </c>
      <c r="H29" t="s">
        <v>292</v>
      </c>
      <c r="I29">
        <v>480</v>
      </c>
      <c r="J29" t="s">
        <v>174</v>
      </c>
      <c r="K29">
        <v>2</v>
      </c>
      <c r="L29" s="34">
        <v>45670.063888888886</v>
      </c>
      <c r="M29" s="34">
        <v>45670.069444444445</v>
      </c>
      <c r="N29">
        <v>485</v>
      </c>
      <c r="O29">
        <v>3</v>
      </c>
      <c r="P29">
        <v>55</v>
      </c>
      <c r="Q29" s="45">
        <v>94.154035772000626</v>
      </c>
      <c r="R29" t="s">
        <v>82</v>
      </c>
      <c r="S29">
        <v>48</v>
      </c>
    </row>
    <row r="30" spans="1:19">
      <c r="A30">
        <v>2028</v>
      </c>
      <c r="B30">
        <v>3028</v>
      </c>
      <c r="C30" t="s">
        <v>227</v>
      </c>
      <c r="D30" t="s">
        <v>70</v>
      </c>
      <c r="E30" t="s">
        <v>169</v>
      </c>
      <c r="F30" t="s">
        <v>165</v>
      </c>
      <c r="G30">
        <v>290</v>
      </c>
      <c r="H30" t="s">
        <v>285</v>
      </c>
      <c r="I30">
        <v>147</v>
      </c>
      <c r="J30" t="s">
        <v>162</v>
      </c>
      <c r="K30">
        <v>1</v>
      </c>
      <c r="L30" s="34">
        <v>45757.436111111114</v>
      </c>
      <c r="M30" s="34">
        <v>45757.438194444447</v>
      </c>
      <c r="N30">
        <v>168</v>
      </c>
      <c r="O30">
        <v>17</v>
      </c>
      <c r="P30">
        <v>84</v>
      </c>
      <c r="Q30" s="45">
        <v>32.081691156817726</v>
      </c>
      <c r="R30" t="s">
        <v>82</v>
      </c>
      <c r="S30">
        <v>32</v>
      </c>
    </row>
    <row r="31" spans="1:19">
      <c r="A31">
        <v>2029</v>
      </c>
      <c r="B31">
        <v>3029</v>
      </c>
      <c r="C31" t="s">
        <v>188</v>
      </c>
      <c r="D31" t="s">
        <v>186</v>
      </c>
      <c r="E31" t="s">
        <v>169</v>
      </c>
      <c r="F31" t="s">
        <v>181</v>
      </c>
      <c r="G31">
        <v>120</v>
      </c>
      <c r="H31" t="s">
        <v>303</v>
      </c>
      <c r="I31">
        <v>255</v>
      </c>
      <c r="J31" t="s">
        <v>204</v>
      </c>
      <c r="K31">
        <v>3</v>
      </c>
      <c r="L31" s="34">
        <v>45739.388194444444</v>
      </c>
      <c r="M31" s="34">
        <v>45739.38958333333</v>
      </c>
      <c r="N31">
        <v>110</v>
      </c>
      <c r="O31">
        <v>77</v>
      </c>
      <c r="P31">
        <v>92</v>
      </c>
      <c r="Q31" s="45">
        <v>17.729673757554544</v>
      </c>
      <c r="R31" t="s">
        <v>75</v>
      </c>
      <c r="S31">
        <v>41</v>
      </c>
    </row>
    <row r="32" spans="1:19">
      <c r="A32">
        <v>2030</v>
      </c>
      <c r="B32">
        <v>3030</v>
      </c>
      <c r="C32" t="s">
        <v>159</v>
      </c>
      <c r="D32" t="s">
        <v>180</v>
      </c>
      <c r="E32" t="s">
        <v>274</v>
      </c>
      <c r="F32" t="s">
        <v>228</v>
      </c>
      <c r="G32">
        <v>303</v>
      </c>
      <c r="H32" t="s">
        <v>282</v>
      </c>
      <c r="I32">
        <v>190</v>
      </c>
      <c r="J32" t="s">
        <v>229</v>
      </c>
      <c r="K32">
        <v>2</v>
      </c>
      <c r="L32" s="34">
        <v>45713.799305555556</v>
      </c>
      <c r="M32" s="34">
        <v>45713.805555555555</v>
      </c>
      <c r="N32">
        <v>515</v>
      </c>
      <c r="O32">
        <v>43</v>
      </c>
      <c r="P32">
        <v>73</v>
      </c>
      <c r="Q32" s="45">
        <v>86.79387127800949</v>
      </c>
      <c r="R32" t="s">
        <v>82</v>
      </c>
      <c r="S32">
        <v>6</v>
      </c>
    </row>
    <row r="33" spans="1:19">
      <c r="A33">
        <v>2031</v>
      </c>
      <c r="B33">
        <v>3031</v>
      </c>
      <c r="C33" t="s">
        <v>175</v>
      </c>
      <c r="D33" t="s">
        <v>168</v>
      </c>
      <c r="E33" t="s">
        <v>209</v>
      </c>
      <c r="F33" t="s">
        <v>181</v>
      </c>
      <c r="G33">
        <v>483</v>
      </c>
      <c r="H33" t="s">
        <v>304</v>
      </c>
      <c r="I33">
        <v>934</v>
      </c>
      <c r="J33" t="s">
        <v>230</v>
      </c>
      <c r="K33">
        <v>1</v>
      </c>
      <c r="L33" s="34">
        <v>45822.181944444441</v>
      </c>
      <c r="M33" s="34">
        <v>45822.186111111114</v>
      </c>
      <c r="N33">
        <v>324</v>
      </c>
      <c r="O33">
        <v>37</v>
      </c>
      <c r="P33">
        <v>99</v>
      </c>
      <c r="Q33" s="45">
        <v>60.352122338913006</v>
      </c>
      <c r="R33" t="s">
        <v>82</v>
      </c>
      <c r="S33">
        <v>5</v>
      </c>
    </row>
    <row r="34" spans="1:19">
      <c r="A34">
        <v>2032</v>
      </c>
      <c r="B34">
        <v>3032</v>
      </c>
      <c r="C34" t="s">
        <v>163</v>
      </c>
      <c r="D34" t="s">
        <v>176</v>
      </c>
      <c r="E34" t="s">
        <v>160</v>
      </c>
      <c r="F34" t="s">
        <v>203</v>
      </c>
      <c r="G34">
        <v>339</v>
      </c>
      <c r="H34" t="s">
        <v>297</v>
      </c>
      <c r="I34">
        <v>235</v>
      </c>
      <c r="J34" t="s">
        <v>231</v>
      </c>
      <c r="K34">
        <v>2</v>
      </c>
      <c r="L34" s="34">
        <v>45990.802777777775</v>
      </c>
      <c r="M34" s="34">
        <v>45990.805555555555</v>
      </c>
      <c r="N34">
        <v>266</v>
      </c>
      <c r="O34">
        <v>33</v>
      </c>
      <c r="P34">
        <v>50</v>
      </c>
      <c r="Q34" s="45">
        <v>36.831223408860062</v>
      </c>
      <c r="R34" t="s">
        <v>75</v>
      </c>
      <c r="S34">
        <v>17</v>
      </c>
    </row>
    <row r="35" spans="1:19">
      <c r="A35">
        <v>2033</v>
      </c>
      <c r="B35">
        <v>3033</v>
      </c>
      <c r="C35" t="s">
        <v>155</v>
      </c>
      <c r="D35" t="s">
        <v>70</v>
      </c>
      <c r="E35" t="s">
        <v>197</v>
      </c>
      <c r="F35" t="s">
        <v>200</v>
      </c>
      <c r="G35">
        <v>443</v>
      </c>
      <c r="H35" t="s">
        <v>276</v>
      </c>
      <c r="I35">
        <v>123</v>
      </c>
      <c r="J35" t="s">
        <v>232</v>
      </c>
      <c r="K35">
        <v>2</v>
      </c>
      <c r="L35" s="34">
        <v>45769.582638888889</v>
      </c>
      <c r="M35" s="34">
        <v>45769.584027777775</v>
      </c>
      <c r="N35">
        <v>135</v>
      </c>
      <c r="O35">
        <v>85</v>
      </c>
      <c r="P35">
        <v>87</v>
      </c>
      <c r="Q35" s="45">
        <v>47.702089902154455</v>
      </c>
      <c r="R35" t="s">
        <v>75</v>
      </c>
      <c r="S35">
        <v>7</v>
      </c>
    </row>
    <row r="36" spans="1:19">
      <c r="A36">
        <v>2034</v>
      </c>
      <c r="B36">
        <v>3034</v>
      </c>
      <c r="C36" t="s">
        <v>227</v>
      </c>
      <c r="D36" t="s">
        <v>180</v>
      </c>
      <c r="E36" t="s">
        <v>209</v>
      </c>
      <c r="F36" t="s">
        <v>170</v>
      </c>
      <c r="G36">
        <v>121</v>
      </c>
      <c r="H36" t="s">
        <v>284</v>
      </c>
      <c r="I36">
        <v>854</v>
      </c>
      <c r="J36" t="s">
        <v>233</v>
      </c>
      <c r="K36">
        <v>1</v>
      </c>
      <c r="L36" s="34">
        <v>45942.531944444447</v>
      </c>
      <c r="M36" s="34">
        <v>45942.536111111112</v>
      </c>
      <c r="N36">
        <v>360</v>
      </c>
      <c r="O36">
        <v>73</v>
      </c>
      <c r="P36">
        <v>75</v>
      </c>
      <c r="Q36" s="45">
        <v>69.412433255617017</v>
      </c>
      <c r="R36" t="s">
        <v>75</v>
      </c>
      <c r="S36">
        <v>24</v>
      </c>
    </row>
    <row r="37" spans="1:19">
      <c r="A37">
        <v>2035</v>
      </c>
      <c r="B37">
        <v>3035</v>
      </c>
      <c r="C37" t="s">
        <v>206</v>
      </c>
      <c r="D37" t="s">
        <v>234</v>
      </c>
      <c r="E37" t="s">
        <v>177</v>
      </c>
      <c r="F37" t="s">
        <v>184</v>
      </c>
      <c r="G37">
        <v>271</v>
      </c>
      <c r="H37" t="s">
        <v>285</v>
      </c>
      <c r="I37">
        <v>841</v>
      </c>
      <c r="J37" t="s">
        <v>171</v>
      </c>
      <c r="K37">
        <v>2</v>
      </c>
      <c r="L37" s="34">
        <v>45830.352777777778</v>
      </c>
      <c r="M37" s="34">
        <v>45830.354861111111</v>
      </c>
      <c r="N37">
        <v>212</v>
      </c>
      <c r="O37">
        <v>37</v>
      </c>
      <c r="P37">
        <v>52</v>
      </c>
      <c r="Q37" s="45">
        <v>43.031378051391975</v>
      </c>
      <c r="R37" t="s">
        <v>75</v>
      </c>
      <c r="S37">
        <v>36</v>
      </c>
    </row>
    <row r="38" spans="1:19">
      <c r="A38">
        <v>2036</v>
      </c>
      <c r="B38">
        <v>3036</v>
      </c>
      <c r="C38" t="s">
        <v>155</v>
      </c>
      <c r="D38" t="s">
        <v>215</v>
      </c>
      <c r="E38" t="s">
        <v>205</v>
      </c>
      <c r="F38" t="s">
        <v>170</v>
      </c>
      <c r="G38">
        <v>903</v>
      </c>
      <c r="H38" t="s">
        <v>297</v>
      </c>
      <c r="I38">
        <v>202</v>
      </c>
      <c r="J38" t="s">
        <v>235</v>
      </c>
      <c r="K38">
        <v>3</v>
      </c>
      <c r="L38" s="34">
        <v>45790.105555555558</v>
      </c>
      <c r="M38" s="34">
        <v>45790.109027777777</v>
      </c>
      <c r="N38">
        <v>296</v>
      </c>
      <c r="O38">
        <v>96</v>
      </c>
      <c r="P38">
        <v>55</v>
      </c>
      <c r="Q38" s="45">
        <v>67.040770357385526</v>
      </c>
      <c r="R38" t="s">
        <v>75</v>
      </c>
      <c r="S38">
        <v>32</v>
      </c>
    </row>
    <row r="39" spans="1:19">
      <c r="A39">
        <v>2037</v>
      </c>
      <c r="B39">
        <v>3037</v>
      </c>
      <c r="C39" t="s">
        <v>159</v>
      </c>
      <c r="D39" t="s">
        <v>202</v>
      </c>
      <c r="E39" t="s">
        <v>274</v>
      </c>
      <c r="F39" t="s">
        <v>178</v>
      </c>
      <c r="G39">
        <v>740</v>
      </c>
      <c r="H39" t="s">
        <v>289</v>
      </c>
      <c r="I39">
        <v>405</v>
      </c>
      <c r="J39" t="s">
        <v>236</v>
      </c>
      <c r="K39">
        <v>2</v>
      </c>
      <c r="L39" s="34">
        <v>45678.529166666667</v>
      </c>
      <c r="M39" s="34">
        <v>45678.53125</v>
      </c>
      <c r="N39">
        <v>155</v>
      </c>
      <c r="O39">
        <v>47</v>
      </c>
      <c r="P39">
        <v>94</v>
      </c>
      <c r="Q39" s="45">
        <v>26.315722814468426</v>
      </c>
      <c r="R39" t="s">
        <v>82</v>
      </c>
      <c r="S39">
        <v>43</v>
      </c>
    </row>
    <row r="40" spans="1:19">
      <c r="A40">
        <v>2038</v>
      </c>
      <c r="B40">
        <v>3038</v>
      </c>
      <c r="C40" t="s">
        <v>227</v>
      </c>
      <c r="D40" t="s">
        <v>202</v>
      </c>
      <c r="E40" t="s">
        <v>275</v>
      </c>
      <c r="F40" t="s">
        <v>237</v>
      </c>
      <c r="G40">
        <v>826</v>
      </c>
      <c r="H40" t="s">
        <v>280</v>
      </c>
      <c r="I40">
        <v>109</v>
      </c>
      <c r="J40" t="s">
        <v>238</v>
      </c>
      <c r="K40">
        <v>3</v>
      </c>
      <c r="L40" s="34">
        <v>45831.711805555555</v>
      </c>
      <c r="M40" s="34">
        <v>45831.71875</v>
      </c>
      <c r="N40">
        <v>552</v>
      </c>
      <c r="O40">
        <v>45</v>
      </c>
      <c r="P40">
        <v>55</v>
      </c>
      <c r="Q40" s="45">
        <v>94.090507990932139</v>
      </c>
      <c r="R40" t="s">
        <v>75</v>
      </c>
      <c r="S40">
        <v>5</v>
      </c>
    </row>
    <row r="41" spans="1:19">
      <c r="A41">
        <v>2039</v>
      </c>
      <c r="B41">
        <v>3039</v>
      </c>
      <c r="C41" t="s">
        <v>188</v>
      </c>
      <c r="D41" t="s">
        <v>207</v>
      </c>
      <c r="E41" t="s">
        <v>197</v>
      </c>
      <c r="F41" t="s">
        <v>239</v>
      </c>
      <c r="G41">
        <v>364</v>
      </c>
      <c r="H41" t="s">
        <v>280</v>
      </c>
      <c r="I41">
        <v>922</v>
      </c>
      <c r="J41" t="s">
        <v>240</v>
      </c>
      <c r="K41">
        <v>2</v>
      </c>
      <c r="L41" s="34">
        <v>45706.451388888891</v>
      </c>
      <c r="M41" s="34">
        <v>45706.453472222223</v>
      </c>
      <c r="N41">
        <v>157</v>
      </c>
      <c r="O41">
        <v>11</v>
      </c>
      <c r="P41">
        <v>71</v>
      </c>
      <c r="Q41" s="45">
        <v>45.621013609623176</v>
      </c>
      <c r="R41" t="s">
        <v>82</v>
      </c>
      <c r="S41">
        <v>13</v>
      </c>
    </row>
    <row r="42" spans="1:19">
      <c r="A42">
        <v>2040</v>
      </c>
      <c r="B42">
        <v>3040</v>
      </c>
      <c r="C42" t="s">
        <v>163</v>
      </c>
      <c r="D42" t="s">
        <v>191</v>
      </c>
      <c r="E42" t="s">
        <v>169</v>
      </c>
      <c r="F42" t="s">
        <v>157</v>
      </c>
      <c r="G42">
        <v>116</v>
      </c>
      <c r="H42" t="s">
        <v>295</v>
      </c>
      <c r="I42">
        <v>667</v>
      </c>
      <c r="J42" t="s">
        <v>162</v>
      </c>
      <c r="K42">
        <v>3</v>
      </c>
      <c r="L42" s="34">
        <v>45990.334722222222</v>
      </c>
      <c r="M42" s="34">
        <v>45990.338194444441</v>
      </c>
      <c r="N42">
        <v>322</v>
      </c>
      <c r="O42">
        <v>43</v>
      </c>
      <c r="P42">
        <v>67</v>
      </c>
      <c r="Q42" s="45">
        <v>47.223884765503726</v>
      </c>
      <c r="R42" t="s">
        <v>75</v>
      </c>
      <c r="S42">
        <v>36</v>
      </c>
    </row>
    <row r="43" spans="1:19">
      <c r="A43">
        <v>2041</v>
      </c>
      <c r="B43">
        <v>3041</v>
      </c>
      <c r="C43" t="s">
        <v>190</v>
      </c>
      <c r="D43" t="s">
        <v>191</v>
      </c>
      <c r="E43" t="s">
        <v>177</v>
      </c>
      <c r="F43" t="s">
        <v>161</v>
      </c>
      <c r="G43">
        <v>624</v>
      </c>
      <c r="H43" t="s">
        <v>288</v>
      </c>
      <c r="I43">
        <v>677</v>
      </c>
      <c r="J43" t="s">
        <v>218</v>
      </c>
      <c r="K43">
        <v>2</v>
      </c>
      <c r="L43" s="34">
        <v>45956.871527777781</v>
      </c>
      <c r="M43" s="34">
        <v>45956.87222222222</v>
      </c>
      <c r="N43">
        <v>72</v>
      </c>
      <c r="O43">
        <v>83</v>
      </c>
      <c r="P43">
        <v>79</v>
      </c>
      <c r="Q43" s="45">
        <v>20.077358592048444</v>
      </c>
      <c r="R43" t="s">
        <v>75</v>
      </c>
      <c r="S43">
        <v>45</v>
      </c>
    </row>
    <row r="44" spans="1:19">
      <c r="A44">
        <v>2042</v>
      </c>
      <c r="B44">
        <v>3042</v>
      </c>
      <c r="C44" t="s">
        <v>199</v>
      </c>
      <c r="D44" t="s">
        <v>221</v>
      </c>
      <c r="E44" t="s">
        <v>275</v>
      </c>
      <c r="F44" t="s">
        <v>212</v>
      </c>
      <c r="G44">
        <v>397</v>
      </c>
      <c r="H44" t="s">
        <v>299</v>
      </c>
      <c r="I44">
        <v>764</v>
      </c>
      <c r="J44" t="s">
        <v>213</v>
      </c>
      <c r="K44">
        <v>3</v>
      </c>
      <c r="L44" s="34">
        <v>45923.509027777778</v>
      </c>
      <c r="M44" s="34">
        <v>45923.51458333333</v>
      </c>
      <c r="N44">
        <v>446</v>
      </c>
      <c r="O44">
        <v>92</v>
      </c>
      <c r="P44">
        <v>69</v>
      </c>
      <c r="Q44" s="45">
        <v>81.896181937825233</v>
      </c>
      <c r="R44" t="s">
        <v>75</v>
      </c>
      <c r="S44">
        <v>33</v>
      </c>
    </row>
    <row r="45" spans="1:19">
      <c r="A45">
        <v>2043</v>
      </c>
      <c r="B45">
        <v>3043</v>
      </c>
      <c r="C45" t="s">
        <v>188</v>
      </c>
      <c r="D45" t="s">
        <v>215</v>
      </c>
      <c r="E45" t="s">
        <v>160</v>
      </c>
      <c r="F45" t="s">
        <v>178</v>
      </c>
      <c r="G45">
        <v>750</v>
      </c>
      <c r="H45" t="s">
        <v>292</v>
      </c>
      <c r="I45">
        <v>882</v>
      </c>
      <c r="J45" t="s">
        <v>174</v>
      </c>
      <c r="K45">
        <v>1</v>
      </c>
      <c r="L45" s="34">
        <v>45712.068055555559</v>
      </c>
      <c r="M45" s="34">
        <v>45712.070138888892</v>
      </c>
      <c r="N45">
        <v>196</v>
      </c>
      <c r="O45">
        <v>13</v>
      </c>
      <c r="P45">
        <v>87</v>
      </c>
      <c r="Q45" s="45">
        <v>34.252623963415417</v>
      </c>
      <c r="R45" t="s">
        <v>82</v>
      </c>
      <c r="S45">
        <v>42</v>
      </c>
    </row>
    <row r="46" spans="1:19">
      <c r="A46">
        <v>2044</v>
      </c>
      <c r="B46">
        <v>3044</v>
      </c>
      <c r="C46" t="s">
        <v>78</v>
      </c>
      <c r="D46" t="s">
        <v>241</v>
      </c>
      <c r="E46" t="s">
        <v>205</v>
      </c>
      <c r="F46" t="s">
        <v>192</v>
      </c>
      <c r="G46">
        <v>256</v>
      </c>
      <c r="H46" t="s">
        <v>294</v>
      </c>
      <c r="I46">
        <v>752</v>
      </c>
      <c r="J46" t="s">
        <v>222</v>
      </c>
      <c r="K46">
        <v>1</v>
      </c>
      <c r="L46" s="34">
        <v>45882.354861111111</v>
      </c>
      <c r="M46" s="34">
        <v>45882.361111111109</v>
      </c>
      <c r="N46">
        <v>490</v>
      </c>
      <c r="O46">
        <v>97</v>
      </c>
      <c r="P46">
        <v>54</v>
      </c>
      <c r="Q46" s="45">
        <v>88.641973242109557</v>
      </c>
      <c r="R46" t="s">
        <v>75</v>
      </c>
      <c r="S46">
        <v>25</v>
      </c>
    </row>
    <row r="47" spans="1:19">
      <c r="A47">
        <v>2045</v>
      </c>
      <c r="B47">
        <v>3045</v>
      </c>
      <c r="C47" t="s">
        <v>188</v>
      </c>
      <c r="D47" t="s">
        <v>186</v>
      </c>
      <c r="E47" t="s">
        <v>274</v>
      </c>
      <c r="F47" t="s">
        <v>239</v>
      </c>
      <c r="G47">
        <v>508</v>
      </c>
      <c r="H47" t="s">
        <v>277</v>
      </c>
      <c r="I47">
        <v>243</v>
      </c>
      <c r="J47" t="s">
        <v>210</v>
      </c>
      <c r="K47">
        <v>1</v>
      </c>
      <c r="L47" s="34">
        <v>45718.35</v>
      </c>
      <c r="M47" s="34">
        <v>45718.354166666664</v>
      </c>
      <c r="N47">
        <v>397</v>
      </c>
      <c r="O47">
        <v>72</v>
      </c>
      <c r="P47">
        <v>68</v>
      </c>
      <c r="Q47" s="45">
        <v>64.638055669764398</v>
      </c>
      <c r="R47" t="s">
        <v>75</v>
      </c>
      <c r="S47">
        <v>19</v>
      </c>
    </row>
    <row r="48" spans="1:19">
      <c r="A48">
        <v>2046</v>
      </c>
      <c r="B48">
        <v>3046</v>
      </c>
      <c r="C48" t="s">
        <v>163</v>
      </c>
      <c r="D48" t="s">
        <v>207</v>
      </c>
      <c r="E48" t="s">
        <v>187</v>
      </c>
      <c r="F48" t="s">
        <v>170</v>
      </c>
      <c r="G48">
        <v>343</v>
      </c>
      <c r="H48" t="s">
        <v>294</v>
      </c>
      <c r="I48">
        <v>538</v>
      </c>
      <c r="J48" t="s">
        <v>198</v>
      </c>
      <c r="K48">
        <v>1</v>
      </c>
      <c r="L48" s="34">
        <v>45828.819444444445</v>
      </c>
      <c r="M48" s="34">
        <v>45828.823611111111</v>
      </c>
      <c r="N48">
        <v>390</v>
      </c>
      <c r="O48">
        <v>89</v>
      </c>
      <c r="P48">
        <v>58</v>
      </c>
      <c r="Q48" s="45">
        <v>67.819407229899966</v>
      </c>
      <c r="R48" t="s">
        <v>75</v>
      </c>
      <c r="S48">
        <v>31</v>
      </c>
    </row>
    <row r="49" spans="1:19">
      <c r="A49">
        <v>2047</v>
      </c>
      <c r="B49">
        <v>3047</v>
      </c>
      <c r="C49" t="s">
        <v>206</v>
      </c>
      <c r="D49" t="s">
        <v>186</v>
      </c>
      <c r="E49" t="s">
        <v>187</v>
      </c>
      <c r="F49" t="s">
        <v>242</v>
      </c>
      <c r="G49">
        <v>564</v>
      </c>
      <c r="H49" t="s">
        <v>280</v>
      </c>
      <c r="I49">
        <v>763</v>
      </c>
      <c r="J49" t="s">
        <v>233</v>
      </c>
      <c r="K49">
        <v>3</v>
      </c>
      <c r="L49" s="34">
        <v>45883.814583333333</v>
      </c>
      <c r="M49" s="34">
        <v>45883.816666666666</v>
      </c>
      <c r="N49">
        <v>170</v>
      </c>
      <c r="O49">
        <v>53</v>
      </c>
      <c r="P49">
        <v>60</v>
      </c>
      <c r="Q49" s="45">
        <v>40.40852375156048</v>
      </c>
      <c r="R49" t="s">
        <v>75</v>
      </c>
      <c r="S49">
        <v>47</v>
      </c>
    </row>
    <row r="50" spans="1:19">
      <c r="A50">
        <v>2048</v>
      </c>
      <c r="B50">
        <v>3048</v>
      </c>
      <c r="C50" t="s">
        <v>194</v>
      </c>
      <c r="D50" t="s">
        <v>202</v>
      </c>
      <c r="E50" t="s">
        <v>187</v>
      </c>
      <c r="F50" t="s">
        <v>178</v>
      </c>
      <c r="G50">
        <v>570</v>
      </c>
      <c r="H50" t="s">
        <v>276</v>
      </c>
      <c r="I50">
        <v>533</v>
      </c>
      <c r="J50" t="s">
        <v>198</v>
      </c>
      <c r="K50">
        <v>2</v>
      </c>
      <c r="L50" s="34">
        <v>45950.694444444445</v>
      </c>
      <c r="M50" s="34">
        <v>45950.701388888891</v>
      </c>
      <c r="N50">
        <v>566</v>
      </c>
      <c r="O50">
        <v>26</v>
      </c>
      <c r="P50">
        <v>94</v>
      </c>
      <c r="Q50" s="45">
        <v>88.748471588304199</v>
      </c>
      <c r="R50" t="s">
        <v>82</v>
      </c>
      <c r="S50">
        <v>5</v>
      </c>
    </row>
    <row r="51" spans="1:19">
      <c r="A51">
        <v>2049</v>
      </c>
      <c r="B51">
        <v>3049</v>
      </c>
      <c r="C51" t="s">
        <v>78</v>
      </c>
      <c r="D51" t="s">
        <v>156</v>
      </c>
      <c r="E51" t="s">
        <v>187</v>
      </c>
      <c r="F51" t="s">
        <v>239</v>
      </c>
      <c r="G51">
        <v>437</v>
      </c>
      <c r="H51" t="s">
        <v>299</v>
      </c>
      <c r="I51">
        <v>559</v>
      </c>
      <c r="J51" t="s">
        <v>179</v>
      </c>
      <c r="K51">
        <v>1</v>
      </c>
      <c r="L51" s="34">
        <v>45870.17083333333</v>
      </c>
      <c r="M51" s="34">
        <v>45870.177777777775</v>
      </c>
      <c r="N51">
        <v>594</v>
      </c>
      <c r="O51">
        <v>19</v>
      </c>
      <c r="P51">
        <v>59</v>
      </c>
      <c r="Q51" s="45">
        <v>90.989420141026798</v>
      </c>
      <c r="R51" t="s">
        <v>82</v>
      </c>
      <c r="S51">
        <v>28</v>
      </c>
    </row>
    <row r="52" spans="1:19">
      <c r="A52">
        <v>2050</v>
      </c>
      <c r="B52">
        <v>3050</v>
      </c>
      <c r="C52" t="s">
        <v>159</v>
      </c>
      <c r="D52" t="s">
        <v>70</v>
      </c>
      <c r="E52" t="s">
        <v>274</v>
      </c>
      <c r="F52" t="s">
        <v>243</v>
      </c>
      <c r="G52">
        <v>141</v>
      </c>
      <c r="H52" t="s">
        <v>279</v>
      </c>
      <c r="I52">
        <v>599</v>
      </c>
      <c r="J52" t="s">
        <v>244</v>
      </c>
      <c r="K52">
        <v>2</v>
      </c>
      <c r="L52" s="34">
        <v>45965.390277777777</v>
      </c>
      <c r="M52" s="34">
        <v>45965.395833333336</v>
      </c>
      <c r="N52">
        <v>475</v>
      </c>
      <c r="O52">
        <v>6</v>
      </c>
      <c r="P52">
        <v>72</v>
      </c>
      <c r="Q52" s="45">
        <v>81.312943484327334</v>
      </c>
      <c r="R52" t="s">
        <v>82</v>
      </c>
      <c r="S52">
        <v>18</v>
      </c>
    </row>
    <row r="53" spans="1:19">
      <c r="A53">
        <v>2051</v>
      </c>
      <c r="B53">
        <v>3051</v>
      </c>
      <c r="C53" t="s">
        <v>223</v>
      </c>
      <c r="D53" t="s">
        <v>221</v>
      </c>
      <c r="E53" t="s">
        <v>275</v>
      </c>
      <c r="F53" t="s">
        <v>219</v>
      </c>
      <c r="G53">
        <v>196</v>
      </c>
      <c r="H53" t="s">
        <v>276</v>
      </c>
      <c r="I53">
        <v>684</v>
      </c>
      <c r="J53" t="s">
        <v>238</v>
      </c>
      <c r="K53">
        <v>1</v>
      </c>
      <c r="L53" s="34">
        <v>45696.245138888888</v>
      </c>
      <c r="M53" s="34">
        <v>45696.246527777781</v>
      </c>
      <c r="N53">
        <v>85</v>
      </c>
      <c r="O53">
        <v>93</v>
      </c>
      <c r="P53">
        <v>57</v>
      </c>
      <c r="Q53" s="45">
        <v>26.553098283181985</v>
      </c>
      <c r="R53" t="s">
        <v>75</v>
      </c>
      <c r="S53">
        <v>42</v>
      </c>
    </row>
    <row r="54" spans="1:19">
      <c r="A54">
        <v>2052</v>
      </c>
      <c r="B54">
        <v>3052</v>
      </c>
      <c r="C54" t="s">
        <v>172</v>
      </c>
      <c r="D54" t="s">
        <v>189</v>
      </c>
      <c r="E54" t="s">
        <v>187</v>
      </c>
      <c r="F54" t="s">
        <v>200</v>
      </c>
      <c r="G54">
        <v>904</v>
      </c>
      <c r="H54" t="s">
        <v>280</v>
      </c>
      <c r="I54">
        <v>701</v>
      </c>
      <c r="J54" t="s">
        <v>230</v>
      </c>
      <c r="K54">
        <v>3</v>
      </c>
      <c r="L54" s="34">
        <v>45772.6875</v>
      </c>
      <c r="M54" s="34">
        <v>45772.691666666666</v>
      </c>
      <c r="N54">
        <v>400</v>
      </c>
      <c r="O54">
        <v>20</v>
      </c>
      <c r="P54">
        <v>62</v>
      </c>
      <c r="Q54" s="45">
        <v>83.708998510812535</v>
      </c>
      <c r="R54" t="s">
        <v>82</v>
      </c>
      <c r="S54">
        <v>48</v>
      </c>
    </row>
    <row r="55" spans="1:19">
      <c r="A55">
        <v>2053</v>
      </c>
      <c r="B55">
        <v>3053</v>
      </c>
      <c r="C55" t="s">
        <v>183</v>
      </c>
      <c r="D55" t="s">
        <v>84</v>
      </c>
      <c r="E55" t="s">
        <v>205</v>
      </c>
      <c r="F55" t="s">
        <v>170</v>
      </c>
      <c r="G55">
        <v>433</v>
      </c>
      <c r="H55" t="s">
        <v>289</v>
      </c>
      <c r="I55">
        <v>479</v>
      </c>
      <c r="J55" t="s">
        <v>240</v>
      </c>
      <c r="K55">
        <v>1</v>
      </c>
      <c r="L55" s="34">
        <v>45844.863194444442</v>
      </c>
      <c r="M55" s="34">
        <v>45844.866666666669</v>
      </c>
      <c r="N55">
        <v>265</v>
      </c>
      <c r="O55">
        <v>80</v>
      </c>
      <c r="P55">
        <v>54</v>
      </c>
      <c r="Q55" s="45">
        <v>50.910865067205123</v>
      </c>
      <c r="R55" t="s">
        <v>75</v>
      </c>
      <c r="S55">
        <v>48</v>
      </c>
    </row>
    <row r="56" spans="1:19">
      <c r="A56">
        <v>2054</v>
      </c>
      <c r="B56">
        <v>3054</v>
      </c>
      <c r="C56" t="s">
        <v>78</v>
      </c>
      <c r="D56" t="s">
        <v>176</v>
      </c>
      <c r="E56" t="s">
        <v>197</v>
      </c>
      <c r="F56" t="s">
        <v>203</v>
      </c>
      <c r="G56">
        <v>347</v>
      </c>
      <c r="H56" t="s">
        <v>290</v>
      </c>
      <c r="I56">
        <v>443</v>
      </c>
      <c r="J56" t="s">
        <v>232</v>
      </c>
      <c r="K56">
        <v>1</v>
      </c>
      <c r="L56" s="34">
        <v>45989.307638888888</v>
      </c>
      <c r="M56" s="34">
        <v>45989.30972222222</v>
      </c>
      <c r="N56">
        <v>214</v>
      </c>
      <c r="O56">
        <v>72</v>
      </c>
      <c r="P56">
        <v>65</v>
      </c>
      <c r="Q56" s="45">
        <v>44.363425733773262</v>
      </c>
      <c r="R56" t="s">
        <v>75</v>
      </c>
      <c r="S56">
        <v>8</v>
      </c>
    </row>
    <row r="57" spans="1:19">
      <c r="A57">
        <v>2055</v>
      </c>
      <c r="B57">
        <v>3055</v>
      </c>
      <c r="C57" t="s">
        <v>167</v>
      </c>
      <c r="D57" t="s">
        <v>191</v>
      </c>
      <c r="E57" t="s">
        <v>275</v>
      </c>
      <c r="F57" t="s">
        <v>243</v>
      </c>
      <c r="G57">
        <v>445</v>
      </c>
      <c r="H57" t="s">
        <v>295</v>
      </c>
      <c r="I57">
        <v>493</v>
      </c>
      <c r="J57" t="s">
        <v>201</v>
      </c>
      <c r="K57">
        <v>3</v>
      </c>
      <c r="L57" s="34">
        <v>45971.186805555553</v>
      </c>
      <c r="M57" s="34">
        <v>45971.189583333333</v>
      </c>
      <c r="N57">
        <v>240</v>
      </c>
      <c r="O57">
        <v>74</v>
      </c>
      <c r="P57">
        <v>74</v>
      </c>
      <c r="Q57" s="45">
        <v>54.929014364386859</v>
      </c>
      <c r="R57" t="s">
        <v>75</v>
      </c>
      <c r="S57">
        <v>50</v>
      </c>
    </row>
    <row r="58" spans="1:19">
      <c r="A58">
        <v>2056</v>
      </c>
      <c r="B58">
        <v>3056</v>
      </c>
      <c r="C58" t="s">
        <v>245</v>
      </c>
      <c r="D58" t="s">
        <v>202</v>
      </c>
      <c r="E58" t="s">
        <v>209</v>
      </c>
      <c r="F58" t="s">
        <v>157</v>
      </c>
      <c r="G58">
        <v>632</v>
      </c>
      <c r="H58" t="s">
        <v>281</v>
      </c>
      <c r="I58">
        <v>533</v>
      </c>
      <c r="J58" t="s">
        <v>246</v>
      </c>
      <c r="K58">
        <v>3</v>
      </c>
      <c r="L58" s="34">
        <v>45761.186805555553</v>
      </c>
      <c r="M58" s="34">
        <v>45761.188194444447</v>
      </c>
      <c r="N58">
        <v>118</v>
      </c>
      <c r="O58">
        <v>24</v>
      </c>
      <c r="P58">
        <v>72</v>
      </c>
      <c r="Q58" s="45">
        <v>21.134564347023286</v>
      </c>
      <c r="R58" t="s">
        <v>82</v>
      </c>
      <c r="S58">
        <v>17</v>
      </c>
    </row>
    <row r="59" spans="1:19">
      <c r="A59">
        <v>2057</v>
      </c>
      <c r="B59">
        <v>3057</v>
      </c>
      <c r="C59" t="s">
        <v>217</v>
      </c>
      <c r="D59" t="s">
        <v>186</v>
      </c>
      <c r="E59" t="s">
        <v>205</v>
      </c>
      <c r="F59" t="s">
        <v>157</v>
      </c>
      <c r="G59">
        <v>116</v>
      </c>
      <c r="H59" t="s">
        <v>281</v>
      </c>
      <c r="I59">
        <v>427</v>
      </c>
      <c r="J59" t="s">
        <v>198</v>
      </c>
      <c r="K59">
        <v>1</v>
      </c>
      <c r="L59" s="34">
        <v>45914.472222222219</v>
      </c>
      <c r="M59" s="34">
        <v>45914.473611111112</v>
      </c>
      <c r="N59">
        <v>137</v>
      </c>
      <c r="O59">
        <v>39</v>
      </c>
      <c r="P59">
        <v>57</v>
      </c>
      <c r="Q59" s="45">
        <v>35.185888782728057</v>
      </c>
      <c r="R59" t="s">
        <v>75</v>
      </c>
      <c r="S59">
        <v>45</v>
      </c>
    </row>
    <row r="60" spans="1:19">
      <c r="A60">
        <v>2058</v>
      </c>
      <c r="B60">
        <v>3058</v>
      </c>
      <c r="C60" t="s">
        <v>163</v>
      </c>
      <c r="D60" t="s">
        <v>241</v>
      </c>
      <c r="E60" t="s">
        <v>187</v>
      </c>
      <c r="F60" t="s">
        <v>203</v>
      </c>
      <c r="G60">
        <v>790</v>
      </c>
      <c r="H60" t="s">
        <v>278</v>
      </c>
      <c r="I60">
        <v>785</v>
      </c>
      <c r="J60" t="s">
        <v>204</v>
      </c>
      <c r="K60">
        <v>1</v>
      </c>
      <c r="L60" s="34">
        <v>45971.180555555555</v>
      </c>
      <c r="M60" s="34">
        <v>45971.186805555553</v>
      </c>
      <c r="N60">
        <v>585</v>
      </c>
      <c r="O60">
        <v>16</v>
      </c>
      <c r="P60">
        <v>84</v>
      </c>
      <c r="Q60" s="45">
        <v>87.903393455094104</v>
      </c>
      <c r="R60" t="s">
        <v>82</v>
      </c>
      <c r="S60">
        <v>42</v>
      </c>
    </row>
    <row r="61" spans="1:19">
      <c r="A61">
        <v>2059</v>
      </c>
      <c r="B61">
        <v>3059</v>
      </c>
      <c r="C61" t="s">
        <v>214</v>
      </c>
      <c r="D61" t="s">
        <v>234</v>
      </c>
      <c r="E61" t="s">
        <v>169</v>
      </c>
      <c r="F61" t="s">
        <v>203</v>
      </c>
      <c r="G61">
        <v>735</v>
      </c>
      <c r="H61" t="s">
        <v>287</v>
      </c>
      <c r="I61">
        <v>464</v>
      </c>
      <c r="J61" t="s">
        <v>247</v>
      </c>
      <c r="K61">
        <v>3</v>
      </c>
      <c r="L61" s="34">
        <v>45662.904861111114</v>
      </c>
      <c r="M61" s="34">
        <v>45662.910416666666</v>
      </c>
      <c r="N61">
        <v>459</v>
      </c>
      <c r="O61">
        <v>78</v>
      </c>
      <c r="P61">
        <v>75</v>
      </c>
      <c r="Q61" s="45">
        <v>100</v>
      </c>
      <c r="R61" t="s">
        <v>75</v>
      </c>
      <c r="S61">
        <v>16</v>
      </c>
    </row>
    <row r="62" spans="1:19">
      <c r="A62">
        <v>2060</v>
      </c>
      <c r="B62">
        <v>3060</v>
      </c>
      <c r="C62" t="s">
        <v>188</v>
      </c>
      <c r="D62" t="s">
        <v>186</v>
      </c>
      <c r="E62" t="s">
        <v>160</v>
      </c>
      <c r="F62" t="s">
        <v>161</v>
      </c>
      <c r="G62">
        <v>693</v>
      </c>
      <c r="H62" t="s">
        <v>284</v>
      </c>
      <c r="I62">
        <v>386</v>
      </c>
      <c r="J62" t="s">
        <v>222</v>
      </c>
      <c r="K62">
        <v>2</v>
      </c>
      <c r="L62" s="34">
        <v>45661.450694444444</v>
      </c>
      <c r="M62" s="34">
        <v>45661.452777777777</v>
      </c>
      <c r="N62">
        <v>141</v>
      </c>
      <c r="O62">
        <v>73</v>
      </c>
      <c r="P62">
        <v>94</v>
      </c>
      <c r="Q62" s="45">
        <v>37.162305881214266</v>
      </c>
      <c r="R62" t="s">
        <v>75</v>
      </c>
      <c r="S62">
        <v>10</v>
      </c>
    </row>
    <row r="63" spans="1:19">
      <c r="A63">
        <v>2061</v>
      </c>
      <c r="B63">
        <v>3061</v>
      </c>
      <c r="C63" t="s">
        <v>199</v>
      </c>
      <c r="D63" t="s">
        <v>202</v>
      </c>
      <c r="E63" t="s">
        <v>205</v>
      </c>
      <c r="F63" t="s">
        <v>184</v>
      </c>
      <c r="G63">
        <v>645</v>
      </c>
      <c r="H63" t="s">
        <v>281</v>
      </c>
      <c r="I63">
        <v>448</v>
      </c>
      <c r="J63" t="s">
        <v>193</v>
      </c>
      <c r="K63">
        <v>1</v>
      </c>
      <c r="L63" s="34">
        <v>45906.013888888891</v>
      </c>
      <c r="M63" s="34">
        <v>45906.017361111109</v>
      </c>
      <c r="N63">
        <v>258</v>
      </c>
      <c r="O63">
        <v>70</v>
      </c>
      <c r="P63">
        <v>70</v>
      </c>
      <c r="Q63" s="45">
        <v>37.141061810230859</v>
      </c>
      <c r="R63" t="s">
        <v>75</v>
      </c>
      <c r="S63">
        <v>46</v>
      </c>
    </row>
    <row r="64" spans="1:19">
      <c r="A64">
        <v>2062</v>
      </c>
      <c r="B64">
        <v>3062</v>
      </c>
      <c r="C64" t="s">
        <v>159</v>
      </c>
      <c r="D64" t="s">
        <v>241</v>
      </c>
      <c r="E64" t="s">
        <v>197</v>
      </c>
      <c r="F64" t="s">
        <v>181</v>
      </c>
      <c r="G64">
        <v>110</v>
      </c>
      <c r="H64" t="s">
        <v>282</v>
      </c>
      <c r="I64">
        <v>279</v>
      </c>
      <c r="J64" t="s">
        <v>179</v>
      </c>
      <c r="K64">
        <v>1</v>
      </c>
      <c r="L64" s="34">
        <v>45816.213194444441</v>
      </c>
      <c r="M64" s="34">
        <v>45816.217361111114</v>
      </c>
      <c r="N64">
        <v>366</v>
      </c>
      <c r="O64">
        <v>16</v>
      </c>
      <c r="P64">
        <v>52</v>
      </c>
      <c r="Q64" s="45">
        <v>55.054503912406417</v>
      </c>
      <c r="R64" t="s">
        <v>82</v>
      </c>
      <c r="S64">
        <v>15</v>
      </c>
    </row>
    <row r="65" spans="1:19">
      <c r="A65">
        <v>2063</v>
      </c>
      <c r="B65">
        <v>3063</v>
      </c>
      <c r="C65" t="s">
        <v>194</v>
      </c>
      <c r="D65" t="s">
        <v>156</v>
      </c>
      <c r="E65" t="s">
        <v>187</v>
      </c>
      <c r="F65" t="s">
        <v>228</v>
      </c>
      <c r="G65">
        <v>426</v>
      </c>
      <c r="H65" t="s">
        <v>302</v>
      </c>
      <c r="I65">
        <v>971</v>
      </c>
      <c r="J65" t="s">
        <v>198</v>
      </c>
      <c r="K65">
        <v>1</v>
      </c>
      <c r="L65" s="34">
        <v>45725.492361111108</v>
      </c>
      <c r="M65" s="34">
        <v>45725.497916666667</v>
      </c>
      <c r="N65">
        <v>453</v>
      </c>
      <c r="O65">
        <v>27</v>
      </c>
      <c r="P65">
        <v>76</v>
      </c>
      <c r="Q65" s="45">
        <v>83.478896091466254</v>
      </c>
      <c r="R65" t="s">
        <v>82</v>
      </c>
      <c r="S65">
        <v>36</v>
      </c>
    </row>
    <row r="66" spans="1:19">
      <c r="A66">
        <v>2064</v>
      </c>
      <c r="B66">
        <v>3064</v>
      </c>
      <c r="C66" t="s">
        <v>188</v>
      </c>
      <c r="D66" t="s">
        <v>191</v>
      </c>
      <c r="E66" t="s">
        <v>187</v>
      </c>
      <c r="F66" t="s">
        <v>242</v>
      </c>
      <c r="G66">
        <v>399</v>
      </c>
      <c r="H66" t="s">
        <v>294</v>
      </c>
      <c r="I66">
        <v>524</v>
      </c>
      <c r="J66" t="s">
        <v>208</v>
      </c>
      <c r="K66">
        <v>1</v>
      </c>
      <c r="L66" s="34">
        <v>45826.07916666667</v>
      </c>
      <c r="M66" s="34">
        <v>45826.080555555556</v>
      </c>
      <c r="N66">
        <v>113</v>
      </c>
      <c r="O66">
        <v>1</v>
      </c>
      <c r="P66">
        <v>66</v>
      </c>
      <c r="Q66" s="45">
        <v>19.559602230271469</v>
      </c>
      <c r="R66" t="s">
        <v>82</v>
      </c>
      <c r="S66">
        <v>37</v>
      </c>
    </row>
    <row r="67" spans="1:19">
      <c r="A67">
        <v>2065</v>
      </c>
      <c r="B67">
        <v>3065</v>
      </c>
      <c r="C67" t="s">
        <v>245</v>
      </c>
      <c r="D67" t="s">
        <v>215</v>
      </c>
      <c r="E67" t="s">
        <v>187</v>
      </c>
      <c r="F67" t="s">
        <v>161</v>
      </c>
      <c r="G67">
        <v>312</v>
      </c>
      <c r="H67" t="s">
        <v>296</v>
      </c>
      <c r="I67">
        <v>984</v>
      </c>
      <c r="J67" t="s">
        <v>248</v>
      </c>
      <c r="K67">
        <v>2</v>
      </c>
      <c r="L67" s="34">
        <v>45850.52847222222</v>
      </c>
      <c r="M67" s="34">
        <v>45850.53125</v>
      </c>
      <c r="N67">
        <v>230</v>
      </c>
      <c r="O67">
        <v>78</v>
      </c>
      <c r="P67">
        <v>56</v>
      </c>
      <c r="Q67" s="45">
        <v>48.763875206498305</v>
      </c>
      <c r="R67" t="s">
        <v>75</v>
      </c>
      <c r="S67">
        <v>41</v>
      </c>
    </row>
    <row r="68" spans="1:19">
      <c r="A68">
        <v>2066</v>
      </c>
      <c r="B68">
        <v>3066</v>
      </c>
      <c r="C68" t="s">
        <v>163</v>
      </c>
      <c r="D68" t="s">
        <v>168</v>
      </c>
      <c r="E68" t="s">
        <v>160</v>
      </c>
      <c r="F68" t="s">
        <v>184</v>
      </c>
      <c r="G68">
        <v>502</v>
      </c>
      <c r="H68" t="s">
        <v>297</v>
      </c>
      <c r="I68">
        <v>503</v>
      </c>
      <c r="J68" t="s">
        <v>222</v>
      </c>
      <c r="K68">
        <v>1</v>
      </c>
      <c r="L68" s="34">
        <v>45823.594444444447</v>
      </c>
      <c r="M68" s="34">
        <v>45823.59652777778</v>
      </c>
      <c r="N68">
        <v>182</v>
      </c>
      <c r="O68">
        <v>41</v>
      </c>
      <c r="P68">
        <v>80</v>
      </c>
      <c r="Q68" s="45">
        <v>32.079642433895991</v>
      </c>
      <c r="R68" t="s">
        <v>82</v>
      </c>
      <c r="S68">
        <v>38</v>
      </c>
    </row>
    <row r="69" spans="1:19">
      <c r="A69">
        <v>2067</v>
      </c>
      <c r="B69">
        <v>3067</v>
      </c>
      <c r="C69" t="s">
        <v>199</v>
      </c>
      <c r="D69" t="s">
        <v>215</v>
      </c>
      <c r="E69" t="s">
        <v>205</v>
      </c>
      <c r="F69" t="s">
        <v>157</v>
      </c>
      <c r="G69">
        <v>696</v>
      </c>
      <c r="H69" t="s">
        <v>281</v>
      </c>
      <c r="I69">
        <v>402</v>
      </c>
      <c r="J69" t="s">
        <v>247</v>
      </c>
      <c r="K69">
        <v>1</v>
      </c>
      <c r="L69" s="34">
        <v>45980.20416666667</v>
      </c>
      <c r="M69" s="34">
        <v>45980.208333333336</v>
      </c>
      <c r="N69">
        <v>354</v>
      </c>
      <c r="O69">
        <v>5</v>
      </c>
      <c r="P69">
        <v>99</v>
      </c>
      <c r="Q69" s="45">
        <v>57.79955223598418</v>
      </c>
      <c r="R69" t="s">
        <v>82</v>
      </c>
      <c r="S69">
        <v>29</v>
      </c>
    </row>
    <row r="70" spans="1:19">
      <c r="A70">
        <v>2068</v>
      </c>
      <c r="B70">
        <v>3068</v>
      </c>
      <c r="C70" t="s">
        <v>188</v>
      </c>
      <c r="D70" t="s">
        <v>195</v>
      </c>
      <c r="E70" t="s">
        <v>177</v>
      </c>
      <c r="F70" t="s">
        <v>181</v>
      </c>
      <c r="G70">
        <v>852</v>
      </c>
      <c r="H70" t="s">
        <v>278</v>
      </c>
      <c r="I70">
        <v>231</v>
      </c>
      <c r="J70" t="s">
        <v>204</v>
      </c>
      <c r="K70">
        <v>3</v>
      </c>
      <c r="L70" s="34">
        <v>45910.954861111109</v>
      </c>
      <c r="M70" s="34">
        <v>45910.957638888889</v>
      </c>
      <c r="N70">
        <v>248</v>
      </c>
      <c r="O70">
        <v>92</v>
      </c>
      <c r="P70">
        <v>79</v>
      </c>
      <c r="Q70" s="45">
        <v>43.446640685913401</v>
      </c>
      <c r="R70" t="s">
        <v>75</v>
      </c>
      <c r="S70">
        <v>48</v>
      </c>
    </row>
    <row r="71" spans="1:19">
      <c r="A71">
        <v>2069</v>
      </c>
      <c r="B71">
        <v>3069</v>
      </c>
      <c r="C71" t="s">
        <v>155</v>
      </c>
      <c r="D71" t="s">
        <v>202</v>
      </c>
      <c r="E71" t="s">
        <v>197</v>
      </c>
      <c r="F71" t="s">
        <v>192</v>
      </c>
      <c r="G71">
        <v>777</v>
      </c>
      <c r="H71" t="s">
        <v>285</v>
      </c>
      <c r="I71">
        <v>813</v>
      </c>
      <c r="J71" t="s">
        <v>236</v>
      </c>
      <c r="K71">
        <v>3</v>
      </c>
      <c r="L71" s="34">
        <v>45718.992361111108</v>
      </c>
      <c r="M71" s="34">
        <v>45718.998611111114</v>
      </c>
      <c r="N71">
        <v>501</v>
      </c>
      <c r="O71">
        <v>45</v>
      </c>
      <c r="P71">
        <v>94</v>
      </c>
      <c r="Q71" s="45">
        <v>79.322139090263121</v>
      </c>
      <c r="R71" t="s">
        <v>82</v>
      </c>
      <c r="S71">
        <v>10</v>
      </c>
    </row>
    <row r="72" spans="1:19">
      <c r="A72">
        <v>2070</v>
      </c>
      <c r="B72">
        <v>3070</v>
      </c>
      <c r="C72" t="s">
        <v>217</v>
      </c>
      <c r="D72" t="s">
        <v>249</v>
      </c>
      <c r="E72" t="s">
        <v>209</v>
      </c>
      <c r="F72" t="s">
        <v>243</v>
      </c>
      <c r="G72">
        <v>112</v>
      </c>
      <c r="H72" t="s">
        <v>278</v>
      </c>
      <c r="I72">
        <v>152</v>
      </c>
      <c r="J72" t="s">
        <v>166</v>
      </c>
      <c r="K72">
        <v>2</v>
      </c>
      <c r="L72" s="34">
        <v>45853.880555555559</v>
      </c>
      <c r="M72" s="34">
        <v>45853.884722222225</v>
      </c>
      <c r="N72">
        <v>393</v>
      </c>
      <c r="O72">
        <v>11</v>
      </c>
      <c r="P72">
        <v>58</v>
      </c>
      <c r="Q72" s="45">
        <v>73.798583914548388</v>
      </c>
      <c r="R72" t="s">
        <v>82</v>
      </c>
      <c r="S72">
        <v>41</v>
      </c>
    </row>
    <row r="73" spans="1:19">
      <c r="A73">
        <v>2071</v>
      </c>
      <c r="B73">
        <v>3071</v>
      </c>
      <c r="C73" t="s">
        <v>194</v>
      </c>
      <c r="D73" t="s">
        <v>176</v>
      </c>
      <c r="E73" t="s">
        <v>169</v>
      </c>
      <c r="F73" t="s">
        <v>237</v>
      </c>
      <c r="G73">
        <v>190</v>
      </c>
      <c r="H73" t="s">
        <v>295</v>
      </c>
      <c r="I73">
        <v>155</v>
      </c>
      <c r="J73" t="s">
        <v>185</v>
      </c>
      <c r="K73">
        <v>3</v>
      </c>
      <c r="L73" s="34">
        <v>45778.32916666667</v>
      </c>
      <c r="M73" s="34">
        <v>45778.333333333336</v>
      </c>
      <c r="N73">
        <v>310</v>
      </c>
      <c r="O73">
        <v>14</v>
      </c>
      <c r="P73">
        <v>61</v>
      </c>
      <c r="Q73" s="45">
        <v>54.484360986141375</v>
      </c>
      <c r="R73" t="s">
        <v>82</v>
      </c>
      <c r="S73">
        <v>40</v>
      </c>
    </row>
    <row r="74" spans="1:19">
      <c r="A74">
        <v>2072</v>
      </c>
      <c r="B74">
        <v>3072</v>
      </c>
      <c r="C74" t="s">
        <v>199</v>
      </c>
      <c r="D74" t="s">
        <v>207</v>
      </c>
      <c r="E74" t="s">
        <v>160</v>
      </c>
      <c r="F74" t="s">
        <v>243</v>
      </c>
      <c r="G74">
        <v>744</v>
      </c>
      <c r="H74" t="s">
        <v>294</v>
      </c>
      <c r="I74">
        <v>543</v>
      </c>
      <c r="J74" t="s">
        <v>238</v>
      </c>
      <c r="K74">
        <v>1</v>
      </c>
      <c r="L74" s="34">
        <v>45802.671527777777</v>
      </c>
      <c r="M74" s="34">
        <v>45802.673611111109</v>
      </c>
      <c r="N74">
        <v>148</v>
      </c>
      <c r="O74">
        <v>55</v>
      </c>
      <c r="P74">
        <v>74</v>
      </c>
      <c r="Q74" s="45">
        <v>18.239693897622097</v>
      </c>
      <c r="R74" t="s">
        <v>75</v>
      </c>
      <c r="S74">
        <v>28</v>
      </c>
    </row>
    <row r="75" spans="1:19">
      <c r="A75">
        <v>2073</v>
      </c>
      <c r="B75">
        <v>3073</v>
      </c>
      <c r="C75" t="s">
        <v>155</v>
      </c>
      <c r="D75" t="s">
        <v>224</v>
      </c>
      <c r="E75" t="s">
        <v>274</v>
      </c>
      <c r="F75" t="s">
        <v>178</v>
      </c>
      <c r="G75">
        <v>216</v>
      </c>
      <c r="H75" t="s">
        <v>296</v>
      </c>
      <c r="I75">
        <v>269</v>
      </c>
      <c r="J75" t="s">
        <v>201</v>
      </c>
      <c r="K75">
        <v>3</v>
      </c>
      <c r="L75" s="34">
        <v>45917.856944444444</v>
      </c>
      <c r="M75" s="34">
        <v>45917.861111111109</v>
      </c>
      <c r="N75">
        <v>317</v>
      </c>
      <c r="O75">
        <v>48</v>
      </c>
      <c r="P75">
        <v>91</v>
      </c>
      <c r="Q75" s="45">
        <v>58.578289100798486</v>
      </c>
      <c r="R75" t="s">
        <v>82</v>
      </c>
      <c r="S75">
        <v>15</v>
      </c>
    </row>
    <row r="76" spans="1:19">
      <c r="A76">
        <v>2074</v>
      </c>
      <c r="B76">
        <v>3074</v>
      </c>
      <c r="C76" t="s">
        <v>172</v>
      </c>
      <c r="D76" t="s">
        <v>195</v>
      </c>
      <c r="E76" t="s">
        <v>209</v>
      </c>
      <c r="F76" t="s">
        <v>173</v>
      </c>
      <c r="G76">
        <v>768</v>
      </c>
      <c r="H76" t="s">
        <v>283</v>
      </c>
      <c r="I76">
        <v>686</v>
      </c>
      <c r="J76" t="s">
        <v>174</v>
      </c>
      <c r="K76">
        <v>3</v>
      </c>
      <c r="L76" s="34">
        <v>45680.93472222222</v>
      </c>
      <c r="M76" s="34">
        <v>45680.9375</v>
      </c>
      <c r="N76">
        <v>216</v>
      </c>
      <c r="O76">
        <v>95</v>
      </c>
      <c r="P76">
        <v>55</v>
      </c>
      <c r="Q76" s="45">
        <v>31.553398381941658</v>
      </c>
      <c r="R76" t="s">
        <v>75</v>
      </c>
      <c r="S76">
        <v>47</v>
      </c>
    </row>
    <row r="77" spans="1:19">
      <c r="A77">
        <v>2075</v>
      </c>
      <c r="B77">
        <v>3075</v>
      </c>
      <c r="C77" t="s">
        <v>214</v>
      </c>
      <c r="D77" t="s">
        <v>241</v>
      </c>
      <c r="E77" t="s">
        <v>275</v>
      </c>
      <c r="F77" t="s">
        <v>203</v>
      </c>
      <c r="G77">
        <v>264</v>
      </c>
      <c r="H77" t="s">
        <v>296</v>
      </c>
      <c r="I77">
        <v>831</v>
      </c>
      <c r="J77" t="s">
        <v>232</v>
      </c>
      <c r="K77">
        <v>1</v>
      </c>
      <c r="L77" s="34">
        <v>45831.39166666667</v>
      </c>
      <c r="M77" s="34">
        <v>45831.395833333336</v>
      </c>
      <c r="N77">
        <v>335</v>
      </c>
      <c r="O77">
        <v>38</v>
      </c>
      <c r="P77">
        <v>85</v>
      </c>
      <c r="Q77" s="45">
        <v>56.05190972584235</v>
      </c>
      <c r="R77" t="s">
        <v>82</v>
      </c>
      <c r="S77">
        <v>45</v>
      </c>
    </row>
    <row r="78" spans="1:19">
      <c r="A78">
        <v>2076</v>
      </c>
      <c r="B78">
        <v>3076</v>
      </c>
      <c r="C78" t="s">
        <v>227</v>
      </c>
      <c r="D78" t="s">
        <v>202</v>
      </c>
      <c r="E78" t="s">
        <v>177</v>
      </c>
      <c r="F78" t="s">
        <v>243</v>
      </c>
      <c r="G78">
        <v>661</v>
      </c>
      <c r="H78" t="s">
        <v>276</v>
      </c>
      <c r="I78">
        <v>991</v>
      </c>
      <c r="J78" t="s">
        <v>236</v>
      </c>
      <c r="K78">
        <v>1</v>
      </c>
      <c r="L78" s="34">
        <v>45900.702777777777</v>
      </c>
      <c r="M78" s="34">
        <v>45900.708333333336</v>
      </c>
      <c r="N78">
        <v>466</v>
      </c>
      <c r="O78">
        <v>62</v>
      </c>
      <c r="P78">
        <v>83</v>
      </c>
      <c r="Q78" s="45">
        <v>60.43873940950121</v>
      </c>
      <c r="R78" t="s">
        <v>75</v>
      </c>
      <c r="S78">
        <v>35</v>
      </c>
    </row>
    <row r="79" spans="1:19">
      <c r="A79">
        <v>2077</v>
      </c>
      <c r="B79">
        <v>3077</v>
      </c>
      <c r="C79" t="s">
        <v>199</v>
      </c>
      <c r="D79" t="s">
        <v>249</v>
      </c>
      <c r="E79" t="s">
        <v>275</v>
      </c>
      <c r="F79" t="s">
        <v>203</v>
      </c>
      <c r="G79">
        <v>461</v>
      </c>
      <c r="H79" t="s">
        <v>282</v>
      </c>
      <c r="I79">
        <v>597</v>
      </c>
      <c r="J79" t="s">
        <v>182</v>
      </c>
      <c r="K79">
        <v>2</v>
      </c>
      <c r="L79" s="34">
        <v>45960.924305555556</v>
      </c>
      <c r="M79" s="34">
        <v>45960.927777777775</v>
      </c>
      <c r="N79">
        <v>290</v>
      </c>
      <c r="O79">
        <v>44</v>
      </c>
      <c r="P79">
        <v>96</v>
      </c>
      <c r="Q79" s="45">
        <v>67.871954375168301</v>
      </c>
      <c r="R79" t="s">
        <v>82</v>
      </c>
      <c r="S79">
        <v>39</v>
      </c>
    </row>
    <row r="80" spans="1:19">
      <c r="A80">
        <v>2078</v>
      </c>
      <c r="B80">
        <v>3078</v>
      </c>
      <c r="C80" t="s">
        <v>217</v>
      </c>
      <c r="D80" t="s">
        <v>191</v>
      </c>
      <c r="E80" t="s">
        <v>197</v>
      </c>
      <c r="F80" t="s">
        <v>216</v>
      </c>
      <c r="G80">
        <v>500</v>
      </c>
      <c r="H80" t="s">
        <v>290</v>
      </c>
      <c r="I80">
        <v>402</v>
      </c>
      <c r="J80" t="s">
        <v>250</v>
      </c>
      <c r="K80">
        <v>2</v>
      </c>
      <c r="L80" s="34">
        <v>45894.224305555559</v>
      </c>
      <c r="M80" s="34">
        <v>45894.227083333331</v>
      </c>
      <c r="N80">
        <v>243</v>
      </c>
      <c r="O80">
        <v>90</v>
      </c>
      <c r="P80">
        <v>57</v>
      </c>
      <c r="Q80" s="45">
        <v>47.323907062428383</v>
      </c>
      <c r="R80" t="s">
        <v>75</v>
      </c>
      <c r="S80">
        <v>44</v>
      </c>
    </row>
    <row r="81" spans="1:19">
      <c r="A81">
        <v>2079</v>
      </c>
      <c r="B81">
        <v>3079</v>
      </c>
      <c r="C81" t="s">
        <v>251</v>
      </c>
      <c r="D81" t="s">
        <v>180</v>
      </c>
      <c r="E81" t="s">
        <v>160</v>
      </c>
      <c r="F81" t="s">
        <v>242</v>
      </c>
      <c r="G81">
        <v>724</v>
      </c>
      <c r="H81" t="s">
        <v>282</v>
      </c>
      <c r="I81">
        <v>553</v>
      </c>
      <c r="J81" t="s">
        <v>196</v>
      </c>
      <c r="K81">
        <v>1</v>
      </c>
      <c r="L81" s="34">
        <v>45749.307638888888</v>
      </c>
      <c r="M81" s="34">
        <v>45749.3125</v>
      </c>
      <c r="N81">
        <v>382</v>
      </c>
      <c r="O81">
        <v>93</v>
      </c>
      <c r="P81">
        <v>53</v>
      </c>
      <c r="Q81" s="45">
        <v>66.160492156288953</v>
      </c>
      <c r="R81" t="s">
        <v>75</v>
      </c>
      <c r="S81">
        <v>44</v>
      </c>
    </row>
    <row r="82" spans="1:19">
      <c r="A82">
        <v>2080</v>
      </c>
      <c r="B82">
        <v>3080</v>
      </c>
      <c r="C82" t="s">
        <v>199</v>
      </c>
      <c r="D82" t="s">
        <v>186</v>
      </c>
      <c r="E82" t="s">
        <v>160</v>
      </c>
      <c r="F82" t="s">
        <v>243</v>
      </c>
      <c r="G82">
        <v>370</v>
      </c>
      <c r="H82" t="s">
        <v>283</v>
      </c>
      <c r="I82">
        <v>524</v>
      </c>
      <c r="J82" t="s">
        <v>252</v>
      </c>
      <c r="K82">
        <v>1</v>
      </c>
      <c r="L82" s="34">
        <v>45699.447222222225</v>
      </c>
      <c r="M82" s="34">
        <v>45699.449305555558</v>
      </c>
      <c r="N82">
        <v>185</v>
      </c>
      <c r="O82">
        <v>84</v>
      </c>
      <c r="P82">
        <v>88</v>
      </c>
      <c r="Q82" s="45">
        <v>43.981003242322508</v>
      </c>
      <c r="R82" t="s">
        <v>75</v>
      </c>
      <c r="S82">
        <v>43</v>
      </c>
    </row>
    <row r="83" spans="1:19">
      <c r="A83">
        <v>2081</v>
      </c>
      <c r="B83">
        <v>3081</v>
      </c>
      <c r="C83" t="s">
        <v>194</v>
      </c>
      <c r="D83" t="s">
        <v>234</v>
      </c>
      <c r="E83" t="s">
        <v>274</v>
      </c>
      <c r="F83" t="s">
        <v>165</v>
      </c>
      <c r="G83">
        <v>253</v>
      </c>
      <c r="H83" t="s">
        <v>296</v>
      </c>
      <c r="I83">
        <v>185</v>
      </c>
      <c r="J83" t="s">
        <v>211</v>
      </c>
      <c r="K83">
        <v>1</v>
      </c>
      <c r="L83" s="34">
        <v>45852.080555555556</v>
      </c>
      <c r="M83" s="34">
        <v>45852.086111111108</v>
      </c>
      <c r="N83">
        <v>447</v>
      </c>
      <c r="O83">
        <v>29</v>
      </c>
      <c r="P83">
        <v>69</v>
      </c>
      <c r="Q83" s="45">
        <v>70.544217824649053</v>
      </c>
      <c r="R83" t="s">
        <v>82</v>
      </c>
      <c r="S83">
        <v>50</v>
      </c>
    </row>
    <row r="84" spans="1:19">
      <c r="A84">
        <v>2082</v>
      </c>
      <c r="B84">
        <v>3082</v>
      </c>
      <c r="C84" t="s">
        <v>245</v>
      </c>
      <c r="D84" t="s">
        <v>241</v>
      </c>
      <c r="E84" t="s">
        <v>160</v>
      </c>
      <c r="F84" t="s">
        <v>225</v>
      </c>
      <c r="G84">
        <v>458</v>
      </c>
      <c r="H84" t="s">
        <v>294</v>
      </c>
      <c r="I84">
        <v>186</v>
      </c>
      <c r="J84" t="s">
        <v>211</v>
      </c>
      <c r="K84">
        <v>1</v>
      </c>
      <c r="L84" s="34">
        <v>45853.420138888891</v>
      </c>
      <c r="M84" s="34">
        <v>45853.425694444442</v>
      </c>
      <c r="N84">
        <v>472</v>
      </c>
      <c r="O84">
        <v>87</v>
      </c>
      <c r="P84">
        <v>81</v>
      </c>
      <c r="Q84" s="45">
        <v>87.393838457307126</v>
      </c>
      <c r="R84" t="s">
        <v>75</v>
      </c>
      <c r="S84">
        <v>13</v>
      </c>
    </row>
    <row r="85" spans="1:19">
      <c r="A85">
        <v>2083</v>
      </c>
      <c r="B85">
        <v>3083</v>
      </c>
      <c r="C85" t="s">
        <v>253</v>
      </c>
      <c r="D85" t="s">
        <v>176</v>
      </c>
      <c r="E85" t="s">
        <v>275</v>
      </c>
      <c r="F85" t="s">
        <v>184</v>
      </c>
      <c r="G85">
        <v>551</v>
      </c>
      <c r="H85" t="s">
        <v>300</v>
      </c>
      <c r="I85">
        <v>612</v>
      </c>
      <c r="J85" t="s">
        <v>244</v>
      </c>
      <c r="K85">
        <v>1</v>
      </c>
      <c r="L85" s="34">
        <v>45809.05</v>
      </c>
      <c r="M85" s="34">
        <v>45809.054861111108</v>
      </c>
      <c r="N85">
        <v>459</v>
      </c>
      <c r="O85">
        <v>88</v>
      </c>
      <c r="P85">
        <v>92</v>
      </c>
      <c r="Q85" s="45">
        <v>84.709201535150839</v>
      </c>
      <c r="R85" t="s">
        <v>75</v>
      </c>
      <c r="S85">
        <v>34</v>
      </c>
    </row>
    <row r="86" spans="1:19">
      <c r="A86">
        <v>2084</v>
      </c>
      <c r="B86">
        <v>3084</v>
      </c>
      <c r="C86" t="s">
        <v>183</v>
      </c>
      <c r="D86" t="s">
        <v>164</v>
      </c>
      <c r="E86" t="s">
        <v>275</v>
      </c>
      <c r="F86" t="s">
        <v>228</v>
      </c>
      <c r="G86">
        <v>125</v>
      </c>
      <c r="H86" t="s">
        <v>295</v>
      </c>
      <c r="I86">
        <v>206</v>
      </c>
      <c r="J86" t="s">
        <v>174</v>
      </c>
      <c r="K86">
        <v>3</v>
      </c>
      <c r="L86" s="34">
        <v>45891.3125</v>
      </c>
      <c r="M86" s="34">
        <v>45891.313888888886</v>
      </c>
      <c r="N86">
        <v>84</v>
      </c>
      <c r="O86">
        <v>74</v>
      </c>
      <c r="P86">
        <v>63</v>
      </c>
      <c r="Q86" s="45">
        <v>13.241259114188932</v>
      </c>
      <c r="R86" t="s">
        <v>75</v>
      </c>
      <c r="S86">
        <v>27</v>
      </c>
    </row>
    <row r="87" spans="1:19">
      <c r="A87">
        <v>2085</v>
      </c>
      <c r="B87">
        <v>3085</v>
      </c>
      <c r="C87" t="s">
        <v>78</v>
      </c>
      <c r="D87" t="s">
        <v>168</v>
      </c>
      <c r="E87" t="s">
        <v>209</v>
      </c>
      <c r="F87" t="s">
        <v>219</v>
      </c>
      <c r="G87">
        <v>677</v>
      </c>
      <c r="H87" t="s">
        <v>287</v>
      </c>
      <c r="I87">
        <v>809</v>
      </c>
      <c r="J87" t="s">
        <v>158</v>
      </c>
      <c r="K87">
        <v>3</v>
      </c>
      <c r="L87" s="34">
        <v>45967.908333333333</v>
      </c>
      <c r="M87" s="34">
        <v>45967.913888888892</v>
      </c>
      <c r="N87">
        <v>477</v>
      </c>
      <c r="O87">
        <v>44</v>
      </c>
      <c r="P87">
        <v>86</v>
      </c>
      <c r="Q87" s="45">
        <v>89.447829544566474</v>
      </c>
      <c r="R87" t="s">
        <v>82</v>
      </c>
      <c r="S87">
        <v>45</v>
      </c>
    </row>
    <row r="88" spans="1:19">
      <c r="A88">
        <v>2086</v>
      </c>
      <c r="B88">
        <v>3086</v>
      </c>
      <c r="C88" t="s">
        <v>245</v>
      </c>
      <c r="D88" t="s">
        <v>156</v>
      </c>
      <c r="E88" t="s">
        <v>274</v>
      </c>
      <c r="F88" t="s">
        <v>239</v>
      </c>
      <c r="G88">
        <v>902</v>
      </c>
      <c r="H88" t="s">
        <v>291</v>
      </c>
      <c r="I88">
        <v>124</v>
      </c>
      <c r="J88" t="s">
        <v>201</v>
      </c>
      <c r="K88">
        <v>1</v>
      </c>
      <c r="L88" s="34">
        <v>45871.399305555555</v>
      </c>
      <c r="M88" s="34">
        <v>45871.405555555553</v>
      </c>
      <c r="N88">
        <v>517</v>
      </c>
      <c r="O88">
        <v>27</v>
      </c>
      <c r="P88">
        <v>50</v>
      </c>
      <c r="Q88" s="45">
        <v>82.588970065850873</v>
      </c>
      <c r="R88" t="s">
        <v>82</v>
      </c>
      <c r="S88">
        <v>17</v>
      </c>
    </row>
    <row r="89" spans="1:19">
      <c r="A89">
        <v>2087</v>
      </c>
      <c r="B89">
        <v>3087</v>
      </c>
      <c r="C89" t="s">
        <v>190</v>
      </c>
      <c r="D89" t="s">
        <v>176</v>
      </c>
      <c r="E89" t="s">
        <v>177</v>
      </c>
      <c r="F89" t="s">
        <v>228</v>
      </c>
      <c r="G89">
        <v>634</v>
      </c>
      <c r="H89" t="s">
        <v>291</v>
      </c>
      <c r="I89">
        <v>961</v>
      </c>
      <c r="J89" t="s">
        <v>166</v>
      </c>
      <c r="K89">
        <v>1</v>
      </c>
      <c r="L89" s="34">
        <v>45774.393055555556</v>
      </c>
      <c r="M89" s="34">
        <v>45774.395833333336</v>
      </c>
      <c r="N89">
        <v>229</v>
      </c>
      <c r="O89">
        <v>91</v>
      </c>
      <c r="P89">
        <v>86</v>
      </c>
      <c r="Q89" s="45">
        <v>50.782519100366564</v>
      </c>
      <c r="R89" t="s">
        <v>75</v>
      </c>
      <c r="S89">
        <v>31</v>
      </c>
    </row>
    <row r="90" spans="1:19">
      <c r="A90">
        <v>2088</v>
      </c>
      <c r="B90">
        <v>3088</v>
      </c>
      <c r="C90" t="s">
        <v>199</v>
      </c>
      <c r="D90" t="s">
        <v>241</v>
      </c>
      <c r="E90" t="s">
        <v>275</v>
      </c>
      <c r="F90" t="s">
        <v>170</v>
      </c>
      <c r="G90">
        <v>317</v>
      </c>
      <c r="H90" t="s">
        <v>282</v>
      </c>
      <c r="I90">
        <v>543</v>
      </c>
      <c r="J90" t="s">
        <v>201</v>
      </c>
      <c r="K90">
        <v>3</v>
      </c>
      <c r="L90" s="34">
        <v>45679.210416666669</v>
      </c>
      <c r="M90" s="34">
        <v>45679.212500000001</v>
      </c>
      <c r="N90">
        <v>223</v>
      </c>
      <c r="O90">
        <v>56</v>
      </c>
      <c r="P90">
        <v>61</v>
      </c>
      <c r="Q90" s="45">
        <v>42.813071389163305</v>
      </c>
      <c r="R90" t="s">
        <v>75</v>
      </c>
      <c r="S90">
        <v>8</v>
      </c>
    </row>
    <row r="91" spans="1:19">
      <c r="A91">
        <v>2089</v>
      </c>
      <c r="B91">
        <v>3089</v>
      </c>
      <c r="C91" t="s">
        <v>163</v>
      </c>
      <c r="D91" t="s">
        <v>191</v>
      </c>
      <c r="E91" t="s">
        <v>177</v>
      </c>
      <c r="F91" t="s">
        <v>243</v>
      </c>
      <c r="G91">
        <v>710</v>
      </c>
      <c r="H91" t="s">
        <v>303</v>
      </c>
      <c r="I91">
        <v>199</v>
      </c>
      <c r="J91" t="s">
        <v>220</v>
      </c>
      <c r="K91">
        <v>1</v>
      </c>
      <c r="L91" s="34">
        <v>45944.359722222223</v>
      </c>
      <c r="M91" s="34">
        <v>45944.363194444442</v>
      </c>
      <c r="N91">
        <v>295</v>
      </c>
      <c r="O91">
        <v>32</v>
      </c>
      <c r="P91">
        <v>92</v>
      </c>
      <c r="Q91" s="45">
        <v>50.869382500436011</v>
      </c>
      <c r="R91" t="s">
        <v>82</v>
      </c>
      <c r="S91">
        <v>18</v>
      </c>
    </row>
    <row r="92" spans="1:19">
      <c r="A92">
        <v>2090</v>
      </c>
      <c r="B92">
        <v>3090</v>
      </c>
      <c r="C92" t="s">
        <v>188</v>
      </c>
      <c r="D92" t="s">
        <v>249</v>
      </c>
      <c r="E92" t="s">
        <v>187</v>
      </c>
      <c r="F92" t="s">
        <v>184</v>
      </c>
      <c r="G92">
        <v>243</v>
      </c>
      <c r="H92" t="s">
        <v>288</v>
      </c>
      <c r="I92">
        <v>653</v>
      </c>
      <c r="J92" t="s">
        <v>254</v>
      </c>
      <c r="K92">
        <v>1</v>
      </c>
      <c r="L92" s="34">
        <v>45919.32708333333</v>
      </c>
      <c r="M92" s="34">
        <v>45919.331944444442</v>
      </c>
      <c r="N92">
        <v>399</v>
      </c>
      <c r="O92">
        <v>23</v>
      </c>
      <c r="P92">
        <v>87</v>
      </c>
      <c r="Q92" s="45">
        <v>54.012541498074128</v>
      </c>
      <c r="R92" t="s">
        <v>82</v>
      </c>
      <c r="S92">
        <v>22</v>
      </c>
    </row>
    <row r="93" spans="1:19">
      <c r="A93">
        <v>2091</v>
      </c>
      <c r="B93">
        <v>3091</v>
      </c>
      <c r="C93" t="s">
        <v>167</v>
      </c>
      <c r="D93" t="s">
        <v>221</v>
      </c>
      <c r="E93" t="s">
        <v>274</v>
      </c>
      <c r="F93" t="s">
        <v>242</v>
      </c>
      <c r="G93">
        <v>637</v>
      </c>
      <c r="H93" t="s">
        <v>280</v>
      </c>
      <c r="I93">
        <v>734</v>
      </c>
      <c r="J93" t="s">
        <v>198</v>
      </c>
      <c r="K93">
        <v>1</v>
      </c>
      <c r="L93" s="34">
        <v>45898.572222222225</v>
      </c>
      <c r="M93" s="34">
        <v>45898.573611111111</v>
      </c>
      <c r="N93">
        <v>110</v>
      </c>
      <c r="O93">
        <v>98</v>
      </c>
      <c r="P93">
        <v>85</v>
      </c>
      <c r="Q93" s="45">
        <v>23.34729990086818</v>
      </c>
      <c r="R93" t="s">
        <v>75</v>
      </c>
      <c r="S93">
        <v>42</v>
      </c>
    </row>
    <row r="94" spans="1:19">
      <c r="A94">
        <v>2092</v>
      </c>
      <c r="B94">
        <v>3092</v>
      </c>
      <c r="C94" t="s">
        <v>172</v>
      </c>
      <c r="D94" t="s">
        <v>221</v>
      </c>
      <c r="E94" t="s">
        <v>275</v>
      </c>
      <c r="F94" t="s">
        <v>228</v>
      </c>
      <c r="G94">
        <v>291</v>
      </c>
      <c r="H94" t="s">
        <v>291</v>
      </c>
      <c r="I94">
        <v>123</v>
      </c>
      <c r="J94" t="s">
        <v>158</v>
      </c>
      <c r="K94">
        <v>2</v>
      </c>
      <c r="L94" s="34">
        <v>45796.602083333331</v>
      </c>
      <c r="M94" s="34">
        <v>45796.603472222225</v>
      </c>
      <c r="N94">
        <v>119</v>
      </c>
      <c r="O94">
        <v>6</v>
      </c>
      <c r="P94">
        <v>67</v>
      </c>
      <c r="Q94" s="45">
        <v>22.155303690515176</v>
      </c>
      <c r="R94" t="s">
        <v>82</v>
      </c>
      <c r="S94">
        <v>37</v>
      </c>
    </row>
    <row r="95" spans="1:19">
      <c r="A95">
        <v>2093</v>
      </c>
      <c r="B95">
        <v>3093</v>
      </c>
      <c r="C95" t="s">
        <v>253</v>
      </c>
      <c r="D95" t="s">
        <v>224</v>
      </c>
      <c r="E95" t="s">
        <v>209</v>
      </c>
      <c r="F95" t="s">
        <v>203</v>
      </c>
      <c r="G95">
        <v>926</v>
      </c>
      <c r="H95" t="s">
        <v>283</v>
      </c>
      <c r="I95">
        <v>517</v>
      </c>
      <c r="J95" t="s">
        <v>210</v>
      </c>
      <c r="K95">
        <v>1</v>
      </c>
      <c r="L95" s="34">
        <v>45793.229166666664</v>
      </c>
      <c r="M95" s="34">
        <v>45793.236111111109</v>
      </c>
      <c r="N95">
        <v>587</v>
      </c>
      <c r="O95">
        <v>31</v>
      </c>
      <c r="P95">
        <v>87</v>
      </c>
      <c r="Q95" s="45">
        <v>97.127556244706255</v>
      </c>
      <c r="R95" t="s">
        <v>82</v>
      </c>
      <c r="S95">
        <v>37</v>
      </c>
    </row>
    <row r="96" spans="1:19">
      <c r="A96">
        <v>2094</v>
      </c>
      <c r="B96">
        <v>3094</v>
      </c>
      <c r="C96" t="s">
        <v>190</v>
      </c>
      <c r="D96" t="s">
        <v>191</v>
      </c>
      <c r="E96" t="s">
        <v>274</v>
      </c>
      <c r="F96" t="s">
        <v>200</v>
      </c>
      <c r="G96">
        <v>385</v>
      </c>
      <c r="H96" t="s">
        <v>287</v>
      </c>
      <c r="I96">
        <v>512</v>
      </c>
      <c r="J96" t="s">
        <v>248</v>
      </c>
      <c r="K96">
        <v>3</v>
      </c>
      <c r="L96" s="34">
        <v>45790.42083333333</v>
      </c>
      <c r="M96" s="34">
        <v>45790.423611111109</v>
      </c>
      <c r="N96">
        <v>252</v>
      </c>
      <c r="O96">
        <v>57</v>
      </c>
      <c r="P96">
        <v>85</v>
      </c>
      <c r="Q96" s="45">
        <v>47.436686427227023</v>
      </c>
      <c r="R96" t="s">
        <v>75</v>
      </c>
      <c r="S96">
        <v>30</v>
      </c>
    </row>
    <row r="97" spans="1:19">
      <c r="A97">
        <v>2095</v>
      </c>
      <c r="B97">
        <v>3095</v>
      </c>
      <c r="C97" t="s">
        <v>245</v>
      </c>
      <c r="D97" t="s">
        <v>215</v>
      </c>
      <c r="E97" t="s">
        <v>187</v>
      </c>
      <c r="F97" t="s">
        <v>178</v>
      </c>
      <c r="G97">
        <v>987</v>
      </c>
      <c r="H97" t="s">
        <v>302</v>
      </c>
      <c r="I97">
        <v>647</v>
      </c>
      <c r="J97" t="s">
        <v>201</v>
      </c>
      <c r="K97">
        <v>1</v>
      </c>
      <c r="L97" s="34">
        <v>45782.495138888888</v>
      </c>
      <c r="M97" s="34">
        <v>45782.500694444447</v>
      </c>
      <c r="N97">
        <v>489</v>
      </c>
      <c r="O97">
        <v>48</v>
      </c>
      <c r="P97">
        <v>54</v>
      </c>
      <c r="Q97" s="45">
        <v>86.169460376706169</v>
      </c>
      <c r="R97" t="s">
        <v>75</v>
      </c>
      <c r="S97">
        <v>21</v>
      </c>
    </row>
    <row r="98" spans="1:19">
      <c r="A98">
        <v>2096</v>
      </c>
      <c r="B98">
        <v>3096</v>
      </c>
      <c r="C98" t="s">
        <v>175</v>
      </c>
      <c r="D98" t="s">
        <v>168</v>
      </c>
      <c r="E98" t="s">
        <v>197</v>
      </c>
      <c r="F98" t="s">
        <v>173</v>
      </c>
      <c r="G98">
        <v>640</v>
      </c>
      <c r="H98" t="s">
        <v>277</v>
      </c>
      <c r="I98">
        <v>260</v>
      </c>
      <c r="J98" t="s">
        <v>182</v>
      </c>
      <c r="K98">
        <v>2</v>
      </c>
      <c r="L98" s="34">
        <v>45928.086805555555</v>
      </c>
      <c r="M98" s="34">
        <v>45928.091666666667</v>
      </c>
      <c r="N98">
        <v>414</v>
      </c>
      <c r="O98">
        <v>57</v>
      </c>
      <c r="P98">
        <v>85</v>
      </c>
      <c r="Q98" s="45">
        <v>63.895628536759268</v>
      </c>
      <c r="R98" t="s">
        <v>75</v>
      </c>
      <c r="S98">
        <v>6</v>
      </c>
    </row>
    <row r="99" spans="1:19">
      <c r="A99">
        <v>2097</v>
      </c>
      <c r="B99">
        <v>3097</v>
      </c>
      <c r="C99" t="s">
        <v>253</v>
      </c>
      <c r="D99" t="s">
        <v>189</v>
      </c>
      <c r="E99" t="s">
        <v>209</v>
      </c>
      <c r="F99" t="s">
        <v>157</v>
      </c>
      <c r="G99">
        <v>405</v>
      </c>
      <c r="H99" t="s">
        <v>288</v>
      </c>
      <c r="I99">
        <v>188</v>
      </c>
      <c r="J99" t="s">
        <v>174</v>
      </c>
      <c r="K99">
        <v>3</v>
      </c>
      <c r="L99" s="34">
        <v>45906.977083333331</v>
      </c>
      <c r="M99" s="34">
        <v>45906.979861111111</v>
      </c>
      <c r="N99">
        <v>207</v>
      </c>
      <c r="O99">
        <v>65</v>
      </c>
      <c r="P99">
        <v>70</v>
      </c>
      <c r="Q99" s="45">
        <v>35.583857395023188</v>
      </c>
      <c r="R99" t="s">
        <v>75</v>
      </c>
      <c r="S99">
        <v>12</v>
      </c>
    </row>
    <row r="100" spans="1:19">
      <c r="A100">
        <v>2098</v>
      </c>
      <c r="B100">
        <v>3098</v>
      </c>
      <c r="C100" t="s">
        <v>188</v>
      </c>
      <c r="D100" t="s">
        <v>189</v>
      </c>
      <c r="E100" t="s">
        <v>275</v>
      </c>
      <c r="F100" t="s">
        <v>237</v>
      </c>
      <c r="G100">
        <v>768</v>
      </c>
      <c r="H100" t="s">
        <v>299</v>
      </c>
      <c r="I100">
        <v>449</v>
      </c>
      <c r="J100" t="s">
        <v>236</v>
      </c>
      <c r="K100">
        <v>2</v>
      </c>
      <c r="L100" s="34">
        <v>45853.263194444444</v>
      </c>
      <c r="M100" s="34">
        <v>45853.265277777777</v>
      </c>
      <c r="N100">
        <v>144</v>
      </c>
      <c r="O100">
        <v>5</v>
      </c>
      <c r="P100">
        <v>88</v>
      </c>
      <c r="Q100" s="45">
        <v>27.080454357924239</v>
      </c>
      <c r="R100" t="s">
        <v>82</v>
      </c>
      <c r="S100">
        <v>13</v>
      </c>
    </row>
    <row r="101" spans="1:19">
      <c r="A101">
        <v>2099</v>
      </c>
      <c r="B101">
        <v>3099</v>
      </c>
      <c r="C101" t="s">
        <v>172</v>
      </c>
      <c r="D101" t="s">
        <v>249</v>
      </c>
      <c r="E101" t="s">
        <v>275</v>
      </c>
      <c r="F101" t="s">
        <v>225</v>
      </c>
      <c r="G101">
        <v>430</v>
      </c>
      <c r="H101" t="s">
        <v>287</v>
      </c>
      <c r="I101">
        <v>748</v>
      </c>
      <c r="J101" t="s">
        <v>204</v>
      </c>
      <c r="K101">
        <v>1</v>
      </c>
      <c r="L101" s="34">
        <v>45922.725694444445</v>
      </c>
      <c r="M101" s="34">
        <v>45922.729861111111</v>
      </c>
      <c r="N101">
        <v>355</v>
      </c>
      <c r="O101">
        <v>35</v>
      </c>
      <c r="P101">
        <v>61</v>
      </c>
      <c r="Q101" s="45">
        <v>68.43298817899128</v>
      </c>
      <c r="R101" t="s">
        <v>82</v>
      </c>
      <c r="S101">
        <v>30</v>
      </c>
    </row>
    <row r="102" spans="1:19">
      <c r="A102">
        <v>2100</v>
      </c>
      <c r="B102">
        <v>3100</v>
      </c>
      <c r="C102" t="s">
        <v>227</v>
      </c>
      <c r="D102" t="s">
        <v>164</v>
      </c>
      <c r="E102" t="s">
        <v>275</v>
      </c>
      <c r="F102" t="s">
        <v>239</v>
      </c>
      <c r="G102">
        <v>895</v>
      </c>
      <c r="H102" t="s">
        <v>303</v>
      </c>
      <c r="I102">
        <v>211</v>
      </c>
      <c r="J102" t="s">
        <v>230</v>
      </c>
      <c r="K102">
        <v>3</v>
      </c>
      <c r="L102" s="34">
        <v>45778.645138888889</v>
      </c>
      <c r="M102" s="34">
        <v>45778.650694444441</v>
      </c>
      <c r="N102">
        <v>480</v>
      </c>
      <c r="O102">
        <v>8</v>
      </c>
      <c r="P102">
        <v>67</v>
      </c>
      <c r="Q102" s="45">
        <v>85.122257052563697</v>
      </c>
      <c r="R102" t="s">
        <v>82</v>
      </c>
      <c r="S102">
        <v>39</v>
      </c>
    </row>
    <row r="103" spans="1:19">
      <c r="A103">
        <v>2101</v>
      </c>
      <c r="B103">
        <v>3101</v>
      </c>
      <c r="C103" t="s">
        <v>167</v>
      </c>
      <c r="D103" t="s">
        <v>207</v>
      </c>
      <c r="E103" t="s">
        <v>177</v>
      </c>
      <c r="F103" t="s">
        <v>255</v>
      </c>
      <c r="G103">
        <v>488</v>
      </c>
      <c r="H103" t="s">
        <v>296</v>
      </c>
      <c r="I103">
        <v>493</v>
      </c>
      <c r="J103" t="s">
        <v>246</v>
      </c>
      <c r="K103">
        <v>2</v>
      </c>
      <c r="L103" s="34">
        <v>45846.469444444447</v>
      </c>
      <c r="M103" s="34">
        <v>45846.472222222219</v>
      </c>
      <c r="N103">
        <v>236</v>
      </c>
      <c r="O103">
        <v>29</v>
      </c>
      <c r="P103">
        <v>92</v>
      </c>
      <c r="Q103" s="45">
        <v>49.105504114745507</v>
      </c>
      <c r="R103" t="s">
        <v>82</v>
      </c>
      <c r="S103">
        <v>47</v>
      </c>
    </row>
    <row r="104" spans="1:19">
      <c r="A104">
        <v>2102</v>
      </c>
      <c r="B104">
        <v>3102</v>
      </c>
      <c r="C104" t="s">
        <v>217</v>
      </c>
      <c r="D104" t="s">
        <v>234</v>
      </c>
      <c r="E104" t="s">
        <v>274</v>
      </c>
      <c r="F104" t="s">
        <v>256</v>
      </c>
      <c r="G104">
        <v>549</v>
      </c>
      <c r="H104" t="s">
        <v>302</v>
      </c>
      <c r="I104">
        <v>350</v>
      </c>
      <c r="J104" t="s">
        <v>257</v>
      </c>
      <c r="K104">
        <v>3</v>
      </c>
      <c r="L104" s="34">
        <v>45957.414583333331</v>
      </c>
      <c r="M104" s="34">
        <v>45957.415972222225</v>
      </c>
      <c r="N104">
        <v>155</v>
      </c>
      <c r="O104">
        <v>77</v>
      </c>
      <c r="P104">
        <v>52</v>
      </c>
      <c r="Q104" s="45">
        <v>27.440895261286954</v>
      </c>
      <c r="R104" t="s">
        <v>75</v>
      </c>
      <c r="S104">
        <v>37</v>
      </c>
    </row>
    <row r="105" spans="1:19">
      <c r="A105">
        <v>2103</v>
      </c>
      <c r="B105">
        <v>3103</v>
      </c>
      <c r="C105" t="s">
        <v>78</v>
      </c>
      <c r="D105" t="s">
        <v>70</v>
      </c>
      <c r="E105" t="s">
        <v>197</v>
      </c>
      <c r="F105" t="s">
        <v>258</v>
      </c>
      <c r="G105">
        <v>862</v>
      </c>
      <c r="H105" t="s">
        <v>290</v>
      </c>
      <c r="I105">
        <v>636</v>
      </c>
      <c r="J105" t="s">
        <v>193</v>
      </c>
      <c r="K105">
        <v>1</v>
      </c>
      <c r="L105" s="34">
        <v>45930.362500000003</v>
      </c>
      <c r="M105" s="34">
        <v>45930.366666666669</v>
      </c>
      <c r="N105">
        <v>375</v>
      </c>
      <c r="O105">
        <v>81</v>
      </c>
      <c r="P105">
        <v>86</v>
      </c>
      <c r="Q105" s="45">
        <v>65.527433051796521</v>
      </c>
      <c r="R105" t="s">
        <v>75</v>
      </c>
      <c r="S105">
        <v>43</v>
      </c>
    </row>
    <row r="106" spans="1:19">
      <c r="A106">
        <v>2104</v>
      </c>
      <c r="B106">
        <v>3104</v>
      </c>
      <c r="C106" t="s">
        <v>245</v>
      </c>
      <c r="D106" t="s">
        <v>176</v>
      </c>
      <c r="E106" t="s">
        <v>197</v>
      </c>
      <c r="F106" t="s">
        <v>259</v>
      </c>
      <c r="G106">
        <v>160</v>
      </c>
      <c r="H106" t="s">
        <v>297</v>
      </c>
      <c r="I106">
        <v>324</v>
      </c>
      <c r="J106" t="s">
        <v>230</v>
      </c>
      <c r="K106">
        <v>2</v>
      </c>
      <c r="L106" s="34">
        <v>45884.678472222222</v>
      </c>
      <c r="M106" s="34">
        <v>45884.681944444441</v>
      </c>
      <c r="N106">
        <v>295</v>
      </c>
      <c r="O106">
        <v>72</v>
      </c>
      <c r="P106">
        <v>64</v>
      </c>
      <c r="Q106" s="45">
        <v>60.01550701748026</v>
      </c>
      <c r="R106" t="s">
        <v>75</v>
      </c>
      <c r="S106">
        <v>16</v>
      </c>
    </row>
    <row r="107" spans="1:19">
      <c r="A107">
        <v>2105</v>
      </c>
      <c r="B107">
        <v>3105</v>
      </c>
      <c r="C107" t="s">
        <v>155</v>
      </c>
      <c r="D107" t="s">
        <v>176</v>
      </c>
      <c r="E107" t="s">
        <v>209</v>
      </c>
      <c r="F107" t="s">
        <v>260</v>
      </c>
      <c r="G107">
        <v>648</v>
      </c>
      <c r="H107" t="s">
        <v>276</v>
      </c>
      <c r="I107">
        <v>428</v>
      </c>
      <c r="J107" t="s">
        <v>201</v>
      </c>
      <c r="K107">
        <v>3</v>
      </c>
      <c r="L107" s="34">
        <v>45760.612500000003</v>
      </c>
      <c r="M107" s="34">
        <v>45760.616666666669</v>
      </c>
      <c r="N107">
        <v>333</v>
      </c>
      <c r="O107">
        <v>54</v>
      </c>
      <c r="P107">
        <v>81</v>
      </c>
      <c r="Q107" s="45">
        <v>50.953518108030018</v>
      </c>
      <c r="R107" t="s">
        <v>75</v>
      </c>
      <c r="S107">
        <v>26</v>
      </c>
    </row>
    <row r="108" spans="1:19">
      <c r="A108">
        <v>2106</v>
      </c>
      <c r="B108">
        <v>3106</v>
      </c>
      <c r="C108" t="s">
        <v>199</v>
      </c>
      <c r="D108" t="s">
        <v>84</v>
      </c>
      <c r="E108" t="s">
        <v>197</v>
      </c>
      <c r="F108" t="s">
        <v>239</v>
      </c>
      <c r="G108">
        <v>544</v>
      </c>
      <c r="H108" t="s">
        <v>283</v>
      </c>
      <c r="I108">
        <v>479</v>
      </c>
      <c r="J108" t="s">
        <v>254</v>
      </c>
      <c r="K108">
        <v>2</v>
      </c>
      <c r="L108" s="34">
        <v>45782.392361111109</v>
      </c>
      <c r="M108" s="34">
        <v>45782.394444444442</v>
      </c>
      <c r="N108">
        <v>182</v>
      </c>
      <c r="O108">
        <v>7</v>
      </c>
      <c r="P108">
        <v>54</v>
      </c>
      <c r="Q108" s="45">
        <v>42.937031316860313</v>
      </c>
      <c r="R108" t="s">
        <v>82</v>
      </c>
      <c r="S108">
        <v>37</v>
      </c>
    </row>
    <row r="109" spans="1:19">
      <c r="A109">
        <v>2107</v>
      </c>
      <c r="B109">
        <v>3107</v>
      </c>
      <c r="C109" t="s">
        <v>172</v>
      </c>
      <c r="D109" t="s">
        <v>261</v>
      </c>
      <c r="E109" t="s">
        <v>209</v>
      </c>
      <c r="F109" t="s">
        <v>262</v>
      </c>
      <c r="G109">
        <v>905</v>
      </c>
      <c r="H109" t="s">
        <v>290</v>
      </c>
      <c r="I109">
        <v>378</v>
      </c>
      <c r="J109" t="s">
        <v>244</v>
      </c>
      <c r="K109">
        <v>3</v>
      </c>
      <c r="L109" s="34">
        <v>45704.729166666664</v>
      </c>
      <c r="M109" s="34">
        <v>45704.732638888891</v>
      </c>
      <c r="N109">
        <v>310</v>
      </c>
      <c r="O109">
        <v>60</v>
      </c>
      <c r="P109">
        <v>99</v>
      </c>
      <c r="Q109" s="45">
        <v>60.730831759678026</v>
      </c>
      <c r="R109" t="s">
        <v>75</v>
      </c>
      <c r="S109">
        <v>20</v>
      </c>
    </row>
    <row r="110" spans="1:19">
      <c r="A110">
        <v>2108</v>
      </c>
      <c r="B110">
        <v>3108</v>
      </c>
      <c r="C110" t="s">
        <v>214</v>
      </c>
      <c r="D110" t="s">
        <v>215</v>
      </c>
      <c r="E110" t="s">
        <v>209</v>
      </c>
      <c r="F110" t="s">
        <v>263</v>
      </c>
      <c r="G110">
        <v>893</v>
      </c>
      <c r="H110" t="s">
        <v>296</v>
      </c>
      <c r="I110">
        <v>413</v>
      </c>
      <c r="J110" t="s">
        <v>264</v>
      </c>
      <c r="K110">
        <v>1</v>
      </c>
      <c r="L110" s="34">
        <v>45799.404861111114</v>
      </c>
      <c r="M110" s="34">
        <v>45799.40902777778</v>
      </c>
      <c r="N110">
        <v>346</v>
      </c>
      <c r="O110">
        <v>6</v>
      </c>
      <c r="P110">
        <v>77</v>
      </c>
      <c r="Q110" s="45">
        <v>69.084646286891015</v>
      </c>
      <c r="R110" t="s">
        <v>82</v>
      </c>
      <c r="S110">
        <v>5</v>
      </c>
    </row>
    <row r="111" spans="1:19">
      <c r="A111">
        <v>2109</v>
      </c>
      <c r="B111">
        <v>3109</v>
      </c>
      <c r="C111" t="s">
        <v>217</v>
      </c>
      <c r="D111" t="s">
        <v>164</v>
      </c>
      <c r="E111" t="s">
        <v>160</v>
      </c>
      <c r="F111" t="s">
        <v>259</v>
      </c>
      <c r="G111">
        <v>563</v>
      </c>
      <c r="H111" t="s">
        <v>297</v>
      </c>
      <c r="I111">
        <v>307</v>
      </c>
      <c r="J111" t="s">
        <v>231</v>
      </c>
      <c r="K111">
        <v>3</v>
      </c>
      <c r="L111" s="34">
        <v>45769.481944444444</v>
      </c>
      <c r="M111" s="34">
        <v>45769.484027777777</v>
      </c>
      <c r="N111">
        <v>174</v>
      </c>
      <c r="O111">
        <v>95</v>
      </c>
      <c r="P111">
        <v>55</v>
      </c>
      <c r="Q111" s="45">
        <v>31.63482666298561</v>
      </c>
      <c r="R111" t="s">
        <v>75</v>
      </c>
      <c r="S111">
        <v>24</v>
      </c>
    </row>
    <row r="112" spans="1:19">
      <c r="A112">
        <v>2110</v>
      </c>
      <c r="B112">
        <v>3110</v>
      </c>
      <c r="C112" t="s">
        <v>172</v>
      </c>
      <c r="D112" t="s">
        <v>84</v>
      </c>
      <c r="E112" t="s">
        <v>169</v>
      </c>
      <c r="F112" t="s">
        <v>265</v>
      </c>
      <c r="G112">
        <v>783</v>
      </c>
      <c r="H112" t="s">
        <v>288</v>
      </c>
      <c r="I112">
        <v>118</v>
      </c>
      <c r="J112" t="s">
        <v>204</v>
      </c>
      <c r="K112">
        <v>1</v>
      </c>
      <c r="L112" s="34">
        <v>45745.320138888892</v>
      </c>
      <c r="M112" s="34">
        <v>45745.322222222225</v>
      </c>
      <c r="N112">
        <v>154</v>
      </c>
      <c r="O112">
        <v>14</v>
      </c>
      <c r="P112">
        <v>65</v>
      </c>
      <c r="Q112" s="45">
        <v>35.408242824101542</v>
      </c>
      <c r="R112" t="s">
        <v>82</v>
      </c>
      <c r="S112">
        <v>37</v>
      </c>
    </row>
    <row r="113" spans="1:19">
      <c r="A113">
        <v>2111</v>
      </c>
      <c r="B113">
        <v>3111</v>
      </c>
      <c r="C113" t="s">
        <v>214</v>
      </c>
      <c r="D113" t="s">
        <v>84</v>
      </c>
      <c r="E113" t="s">
        <v>187</v>
      </c>
      <c r="F113" t="s">
        <v>266</v>
      </c>
      <c r="G113">
        <v>971</v>
      </c>
      <c r="H113" t="s">
        <v>278</v>
      </c>
      <c r="I113">
        <v>682</v>
      </c>
      <c r="J113" t="s">
        <v>162</v>
      </c>
      <c r="K113">
        <v>3</v>
      </c>
      <c r="L113" s="34">
        <v>45793.947222222225</v>
      </c>
      <c r="M113" s="34">
        <v>45793.953472222223</v>
      </c>
      <c r="N113">
        <v>500</v>
      </c>
      <c r="O113">
        <v>50</v>
      </c>
      <c r="P113">
        <v>91</v>
      </c>
      <c r="Q113" s="45">
        <v>85.53061883411344</v>
      </c>
      <c r="R113" t="s">
        <v>82</v>
      </c>
      <c r="S113">
        <v>37</v>
      </c>
    </row>
    <row r="114" spans="1:19">
      <c r="A114">
        <v>2112</v>
      </c>
      <c r="B114">
        <v>3112</v>
      </c>
      <c r="C114" t="s">
        <v>188</v>
      </c>
      <c r="D114" t="s">
        <v>84</v>
      </c>
      <c r="E114" t="s">
        <v>274</v>
      </c>
      <c r="F114" t="s">
        <v>267</v>
      </c>
      <c r="G114">
        <v>612</v>
      </c>
      <c r="H114" t="s">
        <v>304</v>
      </c>
      <c r="I114">
        <v>735</v>
      </c>
      <c r="J114" t="s">
        <v>264</v>
      </c>
      <c r="K114">
        <v>3</v>
      </c>
      <c r="L114" s="34">
        <v>45759.698611111111</v>
      </c>
      <c r="M114" s="34">
        <v>45759.704861111109</v>
      </c>
      <c r="N114">
        <v>566</v>
      </c>
      <c r="O114">
        <v>93</v>
      </c>
      <c r="P114">
        <v>99</v>
      </c>
      <c r="Q114" s="45">
        <v>89.814668083865996</v>
      </c>
      <c r="R114" t="s">
        <v>75</v>
      </c>
      <c r="S114">
        <v>42</v>
      </c>
    </row>
    <row r="115" spans="1:19">
      <c r="A115">
        <v>2113</v>
      </c>
      <c r="B115">
        <v>3113</v>
      </c>
      <c r="C115" t="s">
        <v>183</v>
      </c>
      <c r="D115" t="s">
        <v>164</v>
      </c>
      <c r="E115" t="s">
        <v>275</v>
      </c>
      <c r="F115" t="s">
        <v>268</v>
      </c>
      <c r="G115">
        <v>649</v>
      </c>
      <c r="H115" t="s">
        <v>293</v>
      </c>
      <c r="I115">
        <v>337</v>
      </c>
      <c r="J115" t="s">
        <v>257</v>
      </c>
      <c r="K115">
        <v>2</v>
      </c>
      <c r="L115" s="34">
        <v>45709.699305555558</v>
      </c>
      <c r="M115" s="34">
        <v>45709.70416666667</v>
      </c>
      <c r="N115">
        <v>448</v>
      </c>
      <c r="O115">
        <v>12</v>
      </c>
      <c r="P115">
        <v>56</v>
      </c>
      <c r="Q115" s="45">
        <v>73.726656965924562</v>
      </c>
      <c r="R115" t="s">
        <v>82</v>
      </c>
      <c r="S115">
        <v>31</v>
      </c>
    </row>
    <row r="116" spans="1:19">
      <c r="A116">
        <v>2114</v>
      </c>
      <c r="B116">
        <v>3114</v>
      </c>
      <c r="C116" t="s">
        <v>253</v>
      </c>
      <c r="D116" t="s">
        <v>186</v>
      </c>
      <c r="E116" t="s">
        <v>160</v>
      </c>
      <c r="F116" t="s">
        <v>258</v>
      </c>
      <c r="G116">
        <v>960</v>
      </c>
      <c r="H116" t="s">
        <v>300</v>
      </c>
      <c r="I116">
        <v>515</v>
      </c>
      <c r="J116" t="s">
        <v>252</v>
      </c>
      <c r="K116">
        <v>3</v>
      </c>
      <c r="L116" s="34">
        <v>45727.732638888891</v>
      </c>
      <c r="M116" s="34">
        <v>45727.734722222223</v>
      </c>
      <c r="N116">
        <v>184</v>
      </c>
      <c r="O116">
        <v>100</v>
      </c>
      <c r="P116">
        <v>51</v>
      </c>
      <c r="Q116" s="45">
        <v>41.621566984422515</v>
      </c>
      <c r="R116" t="s">
        <v>75</v>
      </c>
      <c r="S116">
        <v>6</v>
      </c>
    </row>
    <row r="117" spans="1:19">
      <c r="A117">
        <v>2115</v>
      </c>
      <c r="B117">
        <v>3115</v>
      </c>
      <c r="C117" t="s">
        <v>78</v>
      </c>
      <c r="D117" t="s">
        <v>249</v>
      </c>
      <c r="E117" t="s">
        <v>197</v>
      </c>
      <c r="F117" t="s">
        <v>269</v>
      </c>
      <c r="G117">
        <v>485</v>
      </c>
      <c r="H117" t="s">
        <v>291</v>
      </c>
      <c r="I117">
        <v>920</v>
      </c>
      <c r="J117" t="s">
        <v>182</v>
      </c>
      <c r="K117">
        <v>2</v>
      </c>
      <c r="L117" s="34">
        <v>45664.842361111114</v>
      </c>
      <c r="M117" s="34">
        <v>45664.847916666666</v>
      </c>
      <c r="N117">
        <v>479</v>
      </c>
      <c r="O117">
        <v>91</v>
      </c>
      <c r="P117">
        <v>82</v>
      </c>
      <c r="Q117" s="45">
        <v>79.078985635071803</v>
      </c>
      <c r="R117" t="s">
        <v>75</v>
      </c>
      <c r="S117">
        <v>21</v>
      </c>
    </row>
    <row r="118" spans="1:19">
      <c r="A118">
        <v>2116</v>
      </c>
      <c r="B118">
        <v>3116</v>
      </c>
      <c r="C118" t="s">
        <v>172</v>
      </c>
      <c r="D118" t="s">
        <v>191</v>
      </c>
      <c r="E118" t="s">
        <v>209</v>
      </c>
      <c r="F118" t="s">
        <v>255</v>
      </c>
      <c r="G118">
        <v>969</v>
      </c>
      <c r="H118" t="s">
        <v>294</v>
      </c>
      <c r="I118">
        <v>430</v>
      </c>
      <c r="J118" t="s">
        <v>264</v>
      </c>
      <c r="K118">
        <v>3</v>
      </c>
      <c r="L118" s="34">
        <v>45735.73541666667</v>
      </c>
      <c r="M118" s="34">
        <v>45735.740972222222</v>
      </c>
      <c r="N118">
        <v>506</v>
      </c>
      <c r="O118">
        <v>96</v>
      </c>
      <c r="P118">
        <v>67</v>
      </c>
      <c r="Q118" s="45">
        <v>100</v>
      </c>
      <c r="R118" t="s">
        <v>75</v>
      </c>
      <c r="S118">
        <v>16</v>
      </c>
    </row>
    <row r="119" spans="1:19">
      <c r="A119">
        <v>2117</v>
      </c>
      <c r="B119">
        <v>3117</v>
      </c>
      <c r="C119" t="s">
        <v>251</v>
      </c>
      <c r="D119" t="s">
        <v>221</v>
      </c>
      <c r="E119" t="s">
        <v>177</v>
      </c>
      <c r="F119" t="s">
        <v>256</v>
      </c>
      <c r="G119">
        <v>510</v>
      </c>
      <c r="H119" t="s">
        <v>280</v>
      </c>
      <c r="I119">
        <v>500</v>
      </c>
      <c r="J119" t="s">
        <v>182</v>
      </c>
      <c r="K119">
        <v>2</v>
      </c>
      <c r="L119" s="34">
        <v>45664.613888888889</v>
      </c>
      <c r="M119" s="34">
        <v>45664.615972222222</v>
      </c>
      <c r="N119">
        <v>177</v>
      </c>
      <c r="O119">
        <v>0</v>
      </c>
      <c r="P119">
        <v>74</v>
      </c>
      <c r="Q119" s="45">
        <v>31.411699467562816</v>
      </c>
      <c r="R119" t="s">
        <v>82</v>
      </c>
      <c r="S119">
        <v>34</v>
      </c>
    </row>
    <row r="120" spans="1:19">
      <c r="A120">
        <v>2118</v>
      </c>
      <c r="B120">
        <v>3118</v>
      </c>
      <c r="C120" t="s">
        <v>155</v>
      </c>
      <c r="D120" t="s">
        <v>156</v>
      </c>
      <c r="E120" t="s">
        <v>274</v>
      </c>
      <c r="F120" t="s">
        <v>259</v>
      </c>
      <c r="G120">
        <v>530</v>
      </c>
      <c r="H120" t="s">
        <v>286</v>
      </c>
      <c r="I120">
        <v>287</v>
      </c>
      <c r="J120" t="s">
        <v>229</v>
      </c>
      <c r="K120">
        <v>1</v>
      </c>
      <c r="L120" s="34">
        <v>45862.038888888892</v>
      </c>
      <c r="M120" s="34">
        <v>45862.042361111111</v>
      </c>
      <c r="N120">
        <v>298</v>
      </c>
      <c r="O120">
        <v>31</v>
      </c>
      <c r="P120">
        <v>52</v>
      </c>
      <c r="Q120" s="45">
        <v>37.945628340520791</v>
      </c>
      <c r="R120" t="s">
        <v>82</v>
      </c>
      <c r="S120">
        <v>40</v>
      </c>
    </row>
    <row r="121" spans="1:19">
      <c r="A121">
        <v>2119</v>
      </c>
      <c r="B121">
        <v>3119</v>
      </c>
      <c r="C121" t="s">
        <v>188</v>
      </c>
      <c r="D121" t="s">
        <v>221</v>
      </c>
      <c r="E121" t="s">
        <v>177</v>
      </c>
      <c r="F121" t="s">
        <v>270</v>
      </c>
      <c r="G121">
        <v>993</v>
      </c>
      <c r="H121" t="s">
        <v>285</v>
      </c>
      <c r="I121">
        <v>864</v>
      </c>
      <c r="J121" t="s">
        <v>240</v>
      </c>
      <c r="K121">
        <v>1</v>
      </c>
      <c r="L121" s="34">
        <v>45981.879166666666</v>
      </c>
      <c r="M121" s="34">
        <v>45981.883333333331</v>
      </c>
      <c r="N121">
        <v>368</v>
      </c>
      <c r="O121">
        <v>42</v>
      </c>
      <c r="P121">
        <v>96</v>
      </c>
      <c r="Q121" s="45">
        <v>53.134468323946884</v>
      </c>
      <c r="R121" t="s">
        <v>82</v>
      </c>
      <c r="S121">
        <v>42</v>
      </c>
    </row>
    <row r="122" spans="1:19">
      <c r="A122">
        <v>2120</v>
      </c>
      <c r="B122">
        <v>3120</v>
      </c>
      <c r="C122" t="s">
        <v>253</v>
      </c>
      <c r="D122" t="s">
        <v>176</v>
      </c>
      <c r="E122" t="s">
        <v>169</v>
      </c>
      <c r="F122" t="s">
        <v>203</v>
      </c>
      <c r="G122">
        <v>332</v>
      </c>
      <c r="H122" t="s">
        <v>293</v>
      </c>
      <c r="I122">
        <v>910</v>
      </c>
      <c r="J122" t="s">
        <v>218</v>
      </c>
      <c r="K122">
        <v>2</v>
      </c>
      <c r="L122" s="34">
        <v>45950.886805555558</v>
      </c>
      <c r="M122" s="34">
        <v>45950.892361111109</v>
      </c>
      <c r="N122">
        <v>508</v>
      </c>
      <c r="O122">
        <v>46</v>
      </c>
      <c r="P122">
        <v>80</v>
      </c>
      <c r="Q122" s="45">
        <v>82.12954516356443</v>
      </c>
      <c r="R122" t="s">
        <v>82</v>
      </c>
      <c r="S122">
        <v>20</v>
      </c>
    </row>
    <row r="123" spans="1:19">
      <c r="A123">
        <v>2121</v>
      </c>
      <c r="B123">
        <v>3121</v>
      </c>
      <c r="C123" t="s">
        <v>223</v>
      </c>
      <c r="D123" t="s">
        <v>189</v>
      </c>
      <c r="E123" t="s">
        <v>205</v>
      </c>
      <c r="F123" t="s">
        <v>268</v>
      </c>
      <c r="G123">
        <v>351</v>
      </c>
      <c r="H123" t="s">
        <v>280</v>
      </c>
      <c r="I123">
        <v>185</v>
      </c>
      <c r="J123" t="s">
        <v>244</v>
      </c>
      <c r="K123">
        <v>3</v>
      </c>
      <c r="L123" s="34">
        <v>45815.668749999997</v>
      </c>
      <c r="M123" s="34">
        <v>45815.670138888891</v>
      </c>
      <c r="N123">
        <v>149</v>
      </c>
      <c r="O123">
        <v>39</v>
      </c>
      <c r="P123">
        <v>53</v>
      </c>
      <c r="Q123" s="45">
        <v>45.891033981312162</v>
      </c>
      <c r="R123" t="s">
        <v>75</v>
      </c>
      <c r="S123">
        <v>26</v>
      </c>
    </row>
    <row r="124" spans="1:19">
      <c r="A124">
        <v>2122</v>
      </c>
      <c r="B124">
        <v>3122</v>
      </c>
      <c r="C124" t="s">
        <v>245</v>
      </c>
      <c r="D124" t="s">
        <v>168</v>
      </c>
      <c r="E124" t="s">
        <v>209</v>
      </c>
      <c r="F124" t="s">
        <v>157</v>
      </c>
      <c r="G124">
        <v>568</v>
      </c>
      <c r="H124" t="s">
        <v>277</v>
      </c>
      <c r="I124">
        <v>550</v>
      </c>
      <c r="J124" t="s">
        <v>198</v>
      </c>
      <c r="K124">
        <v>2</v>
      </c>
      <c r="L124" s="34">
        <v>45814.479166666664</v>
      </c>
      <c r="M124" s="34">
        <v>45814.480555555558</v>
      </c>
      <c r="N124">
        <v>150</v>
      </c>
      <c r="O124">
        <v>69</v>
      </c>
      <c r="P124">
        <v>54</v>
      </c>
      <c r="Q124" s="45">
        <v>27.037674077210319</v>
      </c>
      <c r="R124" t="s">
        <v>75</v>
      </c>
      <c r="S124">
        <v>18</v>
      </c>
    </row>
    <row r="125" spans="1:19">
      <c r="A125">
        <v>2123</v>
      </c>
      <c r="B125">
        <v>3123</v>
      </c>
      <c r="C125" t="s">
        <v>227</v>
      </c>
      <c r="D125" t="s">
        <v>234</v>
      </c>
      <c r="E125" t="s">
        <v>160</v>
      </c>
      <c r="F125" t="s">
        <v>263</v>
      </c>
      <c r="G125">
        <v>342</v>
      </c>
      <c r="H125" t="s">
        <v>288</v>
      </c>
      <c r="I125">
        <v>961</v>
      </c>
      <c r="J125" t="s">
        <v>230</v>
      </c>
      <c r="K125">
        <v>2</v>
      </c>
      <c r="L125" s="34">
        <v>45850.960416666669</v>
      </c>
      <c r="M125" s="34">
        <v>45850.965277777781</v>
      </c>
      <c r="N125">
        <v>383</v>
      </c>
      <c r="O125">
        <v>85</v>
      </c>
      <c r="P125">
        <v>96</v>
      </c>
      <c r="Q125" s="45">
        <v>73.835082660948885</v>
      </c>
      <c r="R125" t="s">
        <v>75</v>
      </c>
      <c r="S125">
        <v>9</v>
      </c>
    </row>
    <row r="126" spans="1:19">
      <c r="A126">
        <v>2124</v>
      </c>
      <c r="B126">
        <v>3124</v>
      </c>
      <c r="C126" t="s">
        <v>223</v>
      </c>
      <c r="D126" t="s">
        <v>261</v>
      </c>
      <c r="E126" t="s">
        <v>205</v>
      </c>
      <c r="F126" t="s">
        <v>181</v>
      </c>
      <c r="G126">
        <v>677</v>
      </c>
      <c r="H126" t="s">
        <v>290</v>
      </c>
      <c r="I126">
        <v>296</v>
      </c>
      <c r="J126" t="s">
        <v>229</v>
      </c>
      <c r="K126">
        <v>2</v>
      </c>
      <c r="L126" s="34">
        <v>45904.237500000003</v>
      </c>
      <c r="M126" s="34">
        <v>45904.243055555555</v>
      </c>
      <c r="N126">
        <v>504</v>
      </c>
      <c r="O126">
        <v>27</v>
      </c>
      <c r="P126">
        <v>90</v>
      </c>
      <c r="Q126" s="45">
        <v>81.816802498194818</v>
      </c>
      <c r="R126" t="s">
        <v>82</v>
      </c>
      <c r="S126">
        <v>38</v>
      </c>
    </row>
    <row r="127" spans="1:19">
      <c r="A127">
        <v>2125</v>
      </c>
      <c r="B127">
        <v>3125</v>
      </c>
      <c r="C127" t="s">
        <v>253</v>
      </c>
      <c r="D127" t="s">
        <v>221</v>
      </c>
      <c r="E127" t="s">
        <v>177</v>
      </c>
      <c r="F127" t="s">
        <v>266</v>
      </c>
      <c r="G127">
        <v>762</v>
      </c>
      <c r="H127" t="s">
        <v>288</v>
      </c>
      <c r="I127">
        <v>749</v>
      </c>
      <c r="J127" t="s">
        <v>254</v>
      </c>
      <c r="K127">
        <v>2</v>
      </c>
      <c r="L127" s="34">
        <v>45982.2</v>
      </c>
      <c r="M127" s="34">
        <v>45982.206250000003</v>
      </c>
      <c r="N127">
        <v>524</v>
      </c>
      <c r="O127">
        <v>26</v>
      </c>
      <c r="P127">
        <v>67</v>
      </c>
      <c r="Q127" s="45">
        <v>88.673400328780573</v>
      </c>
      <c r="R127" t="s">
        <v>82</v>
      </c>
      <c r="S127">
        <v>40</v>
      </c>
    </row>
    <row r="128" spans="1:19">
      <c r="A128">
        <v>2126</v>
      </c>
      <c r="B128">
        <v>3126</v>
      </c>
      <c r="C128" t="s">
        <v>199</v>
      </c>
      <c r="D128" t="s">
        <v>221</v>
      </c>
      <c r="E128" t="s">
        <v>169</v>
      </c>
      <c r="F128" t="s">
        <v>259</v>
      </c>
      <c r="G128">
        <v>829</v>
      </c>
      <c r="H128" t="s">
        <v>278</v>
      </c>
      <c r="I128">
        <v>514</v>
      </c>
      <c r="J128" t="s">
        <v>226</v>
      </c>
      <c r="K128">
        <v>3</v>
      </c>
      <c r="L128" s="34">
        <v>45952.618055555555</v>
      </c>
      <c r="M128" s="34">
        <v>45952.620833333334</v>
      </c>
      <c r="N128">
        <v>247</v>
      </c>
      <c r="O128">
        <v>39</v>
      </c>
      <c r="P128">
        <v>66</v>
      </c>
      <c r="Q128" s="45">
        <v>33.407938627366207</v>
      </c>
      <c r="R128" t="s">
        <v>82</v>
      </c>
      <c r="S128">
        <v>33</v>
      </c>
    </row>
    <row r="129" spans="1:19">
      <c r="A129">
        <v>2127</v>
      </c>
      <c r="B129">
        <v>3127</v>
      </c>
      <c r="C129" t="s">
        <v>159</v>
      </c>
      <c r="D129" t="s">
        <v>195</v>
      </c>
      <c r="E129" t="s">
        <v>197</v>
      </c>
      <c r="F129" t="s">
        <v>263</v>
      </c>
      <c r="G129">
        <v>683</v>
      </c>
      <c r="H129" t="s">
        <v>290</v>
      </c>
      <c r="I129">
        <v>382</v>
      </c>
      <c r="J129" t="s">
        <v>248</v>
      </c>
      <c r="K129">
        <v>3</v>
      </c>
      <c r="L129" s="34">
        <v>45975.707638888889</v>
      </c>
      <c r="M129" s="34">
        <v>45975.711805555555</v>
      </c>
      <c r="N129">
        <v>360</v>
      </c>
      <c r="O129">
        <v>64</v>
      </c>
      <c r="P129">
        <v>78</v>
      </c>
      <c r="Q129" s="45">
        <v>61.466749057893473</v>
      </c>
      <c r="R129" t="s">
        <v>75</v>
      </c>
      <c r="S129">
        <v>18</v>
      </c>
    </row>
    <row r="130" spans="1:19">
      <c r="A130">
        <v>2128</v>
      </c>
      <c r="B130">
        <v>3128</v>
      </c>
      <c r="C130" t="s">
        <v>175</v>
      </c>
      <c r="D130" t="s">
        <v>186</v>
      </c>
      <c r="E130" t="s">
        <v>275</v>
      </c>
      <c r="F130" t="s">
        <v>263</v>
      </c>
      <c r="G130">
        <v>338</v>
      </c>
      <c r="H130" t="s">
        <v>291</v>
      </c>
      <c r="I130">
        <v>379</v>
      </c>
      <c r="J130" t="s">
        <v>236</v>
      </c>
      <c r="K130">
        <v>2</v>
      </c>
      <c r="L130" s="34">
        <v>45706.469444444447</v>
      </c>
      <c r="M130" s="34">
        <v>45706.472916666666</v>
      </c>
      <c r="N130">
        <v>256</v>
      </c>
      <c r="O130">
        <v>96</v>
      </c>
      <c r="P130">
        <v>67</v>
      </c>
      <c r="Q130" s="45">
        <v>44.54165044190669</v>
      </c>
      <c r="R130" t="s">
        <v>75</v>
      </c>
      <c r="S130">
        <v>48</v>
      </c>
    </row>
    <row r="131" spans="1:19">
      <c r="A131">
        <v>2129</v>
      </c>
      <c r="B131">
        <v>3129</v>
      </c>
      <c r="C131" t="s">
        <v>194</v>
      </c>
      <c r="D131" t="s">
        <v>191</v>
      </c>
      <c r="E131" t="s">
        <v>275</v>
      </c>
      <c r="F131" t="s">
        <v>271</v>
      </c>
      <c r="G131">
        <v>649</v>
      </c>
      <c r="H131" t="s">
        <v>280</v>
      </c>
      <c r="I131">
        <v>679</v>
      </c>
      <c r="J131" t="s">
        <v>238</v>
      </c>
      <c r="K131">
        <v>1</v>
      </c>
      <c r="L131" s="34">
        <v>45941.712500000001</v>
      </c>
      <c r="M131" s="34">
        <v>45941.713888888888</v>
      </c>
      <c r="N131">
        <v>120</v>
      </c>
      <c r="O131">
        <v>66</v>
      </c>
      <c r="P131">
        <v>96</v>
      </c>
      <c r="Q131" s="45">
        <v>34.496245367775948</v>
      </c>
      <c r="R131" t="s">
        <v>75</v>
      </c>
      <c r="S131">
        <v>29</v>
      </c>
    </row>
    <row r="132" spans="1:19">
      <c r="A132">
        <v>2130</v>
      </c>
      <c r="B132">
        <v>3130</v>
      </c>
      <c r="C132" t="s">
        <v>155</v>
      </c>
      <c r="D132" t="s">
        <v>176</v>
      </c>
      <c r="E132" t="s">
        <v>169</v>
      </c>
      <c r="F132" t="s">
        <v>262</v>
      </c>
      <c r="G132">
        <v>246</v>
      </c>
      <c r="H132" t="s">
        <v>292</v>
      </c>
      <c r="I132">
        <v>973</v>
      </c>
      <c r="J132" t="s">
        <v>198</v>
      </c>
      <c r="K132">
        <v>1</v>
      </c>
      <c r="L132" s="34">
        <v>45780.512499999997</v>
      </c>
      <c r="M132" s="34">
        <v>45780.515277777777</v>
      </c>
      <c r="N132">
        <v>235</v>
      </c>
      <c r="O132">
        <v>4</v>
      </c>
      <c r="P132">
        <v>88</v>
      </c>
      <c r="Q132" s="45">
        <v>35.359813949643254</v>
      </c>
      <c r="R132" t="s">
        <v>82</v>
      </c>
      <c r="S132">
        <v>37</v>
      </c>
    </row>
    <row r="133" spans="1:19">
      <c r="A133">
        <v>2131</v>
      </c>
      <c r="B133">
        <v>3131</v>
      </c>
      <c r="C133" t="s">
        <v>188</v>
      </c>
      <c r="D133" t="s">
        <v>191</v>
      </c>
      <c r="E133" t="s">
        <v>274</v>
      </c>
      <c r="F133" t="s">
        <v>269</v>
      </c>
      <c r="G133">
        <v>472</v>
      </c>
      <c r="H133" t="s">
        <v>281</v>
      </c>
      <c r="I133">
        <v>502</v>
      </c>
      <c r="J133" t="s">
        <v>272</v>
      </c>
      <c r="K133">
        <v>2</v>
      </c>
      <c r="L133" s="34">
        <v>45901.668055555558</v>
      </c>
      <c r="M133" s="34">
        <v>45901.670138888891</v>
      </c>
      <c r="N133">
        <v>168</v>
      </c>
      <c r="O133">
        <v>37</v>
      </c>
      <c r="P133">
        <v>93</v>
      </c>
      <c r="Q133" s="45">
        <v>32.923788237488274</v>
      </c>
      <c r="R133" t="s">
        <v>82</v>
      </c>
      <c r="S133">
        <v>30</v>
      </c>
    </row>
    <row r="134" spans="1:19">
      <c r="A134">
        <v>2132</v>
      </c>
      <c r="B134">
        <v>3132</v>
      </c>
      <c r="C134" t="s">
        <v>206</v>
      </c>
      <c r="D134" t="s">
        <v>189</v>
      </c>
      <c r="E134" t="s">
        <v>274</v>
      </c>
      <c r="F134" t="s">
        <v>268</v>
      </c>
      <c r="G134">
        <v>499</v>
      </c>
      <c r="H134" t="s">
        <v>295</v>
      </c>
      <c r="I134">
        <v>903</v>
      </c>
      <c r="J134" t="s">
        <v>196</v>
      </c>
      <c r="K134">
        <v>2</v>
      </c>
      <c r="L134" s="34">
        <v>45751.434027777781</v>
      </c>
      <c r="M134" s="34">
        <v>45751.4375</v>
      </c>
      <c r="N134">
        <v>343</v>
      </c>
      <c r="O134">
        <v>75</v>
      </c>
      <c r="P134">
        <v>56</v>
      </c>
      <c r="Q134" s="45">
        <v>58.150515459401561</v>
      </c>
      <c r="R134" t="s">
        <v>75</v>
      </c>
      <c r="S134">
        <v>5</v>
      </c>
    </row>
    <row r="135" spans="1:19">
      <c r="A135">
        <v>2133</v>
      </c>
      <c r="B135">
        <v>3133</v>
      </c>
      <c r="C135" t="s">
        <v>245</v>
      </c>
      <c r="D135" t="s">
        <v>84</v>
      </c>
      <c r="E135" t="s">
        <v>274</v>
      </c>
      <c r="F135" t="s">
        <v>256</v>
      </c>
      <c r="G135">
        <v>124</v>
      </c>
      <c r="H135" t="s">
        <v>289</v>
      </c>
      <c r="I135">
        <v>411</v>
      </c>
      <c r="J135" t="s">
        <v>254</v>
      </c>
      <c r="K135">
        <v>2</v>
      </c>
      <c r="L135" s="34">
        <v>45748.283333333333</v>
      </c>
      <c r="M135" s="34">
        <v>45748.288888888892</v>
      </c>
      <c r="N135">
        <v>466</v>
      </c>
      <c r="O135">
        <v>76</v>
      </c>
      <c r="P135">
        <v>71</v>
      </c>
      <c r="Q135" s="45">
        <v>76.194125752104981</v>
      </c>
      <c r="R135" t="s">
        <v>75</v>
      </c>
      <c r="S135">
        <v>40</v>
      </c>
    </row>
    <row r="136" spans="1:19">
      <c r="A136">
        <v>2134</v>
      </c>
      <c r="B136">
        <v>3134</v>
      </c>
      <c r="C136" t="s">
        <v>199</v>
      </c>
      <c r="D136" t="s">
        <v>195</v>
      </c>
      <c r="E136" t="s">
        <v>160</v>
      </c>
      <c r="F136" t="s">
        <v>268</v>
      </c>
      <c r="G136">
        <v>281</v>
      </c>
      <c r="H136" t="s">
        <v>289</v>
      </c>
      <c r="I136">
        <v>828</v>
      </c>
      <c r="J136" t="s">
        <v>220</v>
      </c>
      <c r="K136">
        <v>2</v>
      </c>
      <c r="L136" s="34">
        <v>45856.540277777778</v>
      </c>
      <c r="M136" s="34">
        <v>45856.545138888891</v>
      </c>
      <c r="N136">
        <v>413</v>
      </c>
      <c r="O136">
        <v>17</v>
      </c>
      <c r="P136">
        <v>70</v>
      </c>
      <c r="Q136" s="45">
        <v>74.830379472698183</v>
      </c>
      <c r="R136" t="s">
        <v>82</v>
      </c>
      <c r="S136">
        <v>27</v>
      </c>
    </row>
    <row r="137" spans="1:19">
      <c r="A137">
        <v>2135</v>
      </c>
      <c r="B137">
        <v>3135</v>
      </c>
      <c r="C137" t="s">
        <v>190</v>
      </c>
      <c r="D137" t="s">
        <v>168</v>
      </c>
      <c r="E137" t="s">
        <v>274</v>
      </c>
      <c r="F137" t="s">
        <v>265</v>
      </c>
      <c r="G137">
        <v>623</v>
      </c>
      <c r="H137" t="s">
        <v>282</v>
      </c>
      <c r="I137">
        <v>625</v>
      </c>
      <c r="J137" t="s">
        <v>185</v>
      </c>
      <c r="K137">
        <v>1</v>
      </c>
      <c r="L137" s="34">
        <v>45959.027083333334</v>
      </c>
      <c r="M137" s="34">
        <v>45959.03125</v>
      </c>
      <c r="N137">
        <v>365</v>
      </c>
      <c r="O137">
        <v>95</v>
      </c>
      <c r="P137">
        <v>88</v>
      </c>
      <c r="Q137" s="45">
        <v>74.947139377026858</v>
      </c>
      <c r="R137" t="s">
        <v>75</v>
      </c>
      <c r="S137">
        <v>5</v>
      </c>
    </row>
    <row r="138" spans="1:19">
      <c r="A138">
        <v>2136</v>
      </c>
      <c r="B138">
        <v>3136</v>
      </c>
      <c r="C138" t="s">
        <v>172</v>
      </c>
      <c r="D138" t="s">
        <v>156</v>
      </c>
      <c r="E138" t="s">
        <v>205</v>
      </c>
      <c r="F138" t="s">
        <v>259</v>
      </c>
      <c r="G138">
        <v>360</v>
      </c>
      <c r="H138" t="s">
        <v>297</v>
      </c>
      <c r="I138">
        <v>509</v>
      </c>
      <c r="J138" t="s">
        <v>235</v>
      </c>
      <c r="K138">
        <v>3</v>
      </c>
      <c r="L138" s="34">
        <v>45947.763194444444</v>
      </c>
      <c r="M138" s="34">
        <v>45947.767361111109</v>
      </c>
      <c r="N138">
        <v>338</v>
      </c>
      <c r="O138">
        <v>5</v>
      </c>
      <c r="P138">
        <v>59</v>
      </c>
      <c r="Q138" s="45">
        <v>67.841547050357221</v>
      </c>
      <c r="R138" t="s">
        <v>82</v>
      </c>
      <c r="S138">
        <v>17</v>
      </c>
    </row>
    <row r="139" spans="1:19">
      <c r="A139">
        <v>2137</v>
      </c>
      <c r="B139">
        <v>3137</v>
      </c>
      <c r="C139" t="s">
        <v>206</v>
      </c>
      <c r="D139" t="s">
        <v>176</v>
      </c>
      <c r="E139" t="s">
        <v>187</v>
      </c>
      <c r="F139" t="s">
        <v>273</v>
      </c>
      <c r="G139">
        <v>566</v>
      </c>
      <c r="H139" t="s">
        <v>288</v>
      </c>
      <c r="I139">
        <v>906</v>
      </c>
      <c r="J139" t="s">
        <v>201</v>
      </c>
      <c r="K139">
        <v>1</v>
      </c>
      <c r="L139" s="34">
        <v>45709.236111111109</v>
      </c>
      <c r="M139" s="34">
        <v>45709.238194444442</v>
      </c>
      <c r="N139">
        <v>230</v>
      </c>
      <c r="O139">
        <v>77</v>
      </c>
      <c r="P139">
        <v>54</v>
      </c>
      <c r="Q139" s="45">
        <v>40.695853056191552</v>
      </c>
      <c r="R139" t="s">
        <v>75</v>
      </c>
      <c r="S139">
        <v>5</v>
      </c>
    </row>
    <row r="140" spans="1:19">
      <c r="A140">
        <v>2138</v>
      </c>
      <c r="B140">
        <v>3138</v>
      </c>
      <c r="C140" t="s">
        <v>223</v>
      </c>
      <c r="D140" t="s">
        <v>261</v>
      </c>
      <c r="E140" t="s">
        <v>169</v>
      </c>
      <c r="F140" t="s">
        <v>266</v>
      </c>
      <c r="G140">
        <v>676</v>
      </c>
      <c r="H140" t="s">
        <v>284</v>
      </c>
      <c r="I140">
        <v>764</v>
      </c>
      <c r="J140" t="s">
        <v>252</v>
      </c>
      <c r="K140">
        <v>1</v>
      </c>
      <c r="L140" s="34">
        <v>45849.286111111112</v>
      </c>
      <c r="M140" s="34">
        <v>45849.291666666664</v>
      </c>
      <c r="N140">
        <v>493</v>
      </c>
      <c r="O140">
        <v>20</v>
      </c>
      <c r="P140">
        <v>83</v>
      </c>
      <c r="Q140" s="45">
        <v>74.613372648111593</v>
      </c>
      <c r="R140" t="s">
        <v>82</v>
      </c>
      <c r="S140">
        <v>29</v>
      </c>
    </row>
    <row r="141" spans="1:19">
      <c r="A141">
        <v>2139</v>
      </c>
      <c r="B141">
        <v>3139</v>
      </c>
      <c r="C141" t="s">
        <v>190</v>
      </c>
      <c r="D141" t="s">
        <v>261</v>
      </c>
      <c r="E141" t="s">
        <v>169</v>
      </c>
      <c r="F141" t="s">
        <v>258</v>
      </c>
      <c r="G141">
        <v>130</v>
      </c>
      <c r="H141" t="s">
        <v>276</v>
      </c>
      <c r="I141">
        <v>197</v>
      </c>
      <c r="J141" t="s">
        <v>196</v>
      </c>
      <c r="K141">
        <v>2</v>
      </c>
      <c r="L141" s="34">
        <v>45970.698611111111</v>
      </c>
      <c r="M141" s="34">
        <v>45970.700694444444</v>
      </c>
      <c r="N141">
        <v>166</v>
      </c>
      <c r="O141">
        <v>13</v>
      </c>
      <c r="P141">
        <v>94</v>
      </c>
      <c r="Q141" s="45">
        <v>34.183627238962032</v>
      </c>
      <c r="R141" t="s">
        <v>82</v>
      </c>
      <c r="S141">
        <v>25</v>
      </c>
    </row>
    <row r="142" spans="1:19">
      <c r="A142">
        <v>2140</v>
      </c>
      <c r="B142">
        <v>3140</v>
      </c>
      <c r="C142" t="s">
        <v>253</v>
      </c>
      <c r="D142" t="s">
        <v>249</v>
      </c>
      <c r="E142" t="s">
        <v>275</v>
      </c>
      <c r="F142" t="s">
        <v>263</v>
      </c>
      <c r="G142">
        <v>474</v>
      </c>
      <c r="H142" t="s">
        <v>295</v>
      </c>
      <c r="I142">
        <v>870</v>
      </c>
      <c r="J142" t="s">
        <v>235</v>
      </c>
      <c r="K142">
        <v>3</v>
      </c>
      <c r="L142" s="34">
        <v>45978.93472222222</v>
      </c>
      <c r="M142" s="34">
        <v>45978.936805555553</v>
      </c>
      <c r="N142">
        <v>188</v>
      </c>
      <c r="O142">
        <v>5</v>
      </c>
      <c r="P142">
        <v>62</v>
      </c>
      <c r="Q142" s="45">
        <v>36.323685091697349</v>
      </c>
      <c r="R142" t="s">
        <v>82</v>
      </c>
      <c r="S142">
        <v>7</v>
      </c>
    </row>
    <row r="143" spans="1:19">
      <c r="A143">
        <v>2141</v>
      </c>
      <c r="B143">
        <v>3141</v>
      </c>
      <c r="C143" t="s">
        <v>163</v>
      </c>
      <c r="D143" t="s">
        <v>70</v>
      </c>
      <c r="E143" t="s">
        <v>197</v>
      </c>
      <c r="F143" t="s">
        <v>255</v>
      </c>
      <c r="G143">
        <v>162</v>
      </c>
      <c r="H143" t="s">
        <v>288</v>
      </c>
      <c r="I143">
        <v>949</v>
      </c>
      <c r="J143" t="s">
        <v>264</v>
      </c>
      <c r="K143">
        <v>2</v>
      </c>
      <c r="L143" s="34">
        <v>45893.447916666664</v>
      </c>
      <c r="M143" s="34">
        <v>45893.45</v>
      </c>
      <c r="N143">
        <v>199</v>
      </c>
      <c r="O143">
        <v>22</v>
      </c>
      <c r="P143">
        <v>96</v>
      </c>
      <c r="Q143" s="45">
        <v>39.037954200920602</v>
      </c>
      <c r="R143" t="s">
        <v>82</v>
      </c>
      <c r="S143">
        <v>38</v>
      </c>
    </row>
    <row r="144" spans="1:19">
      <c r="A144">
        <v>2142</v>
      </c>
      <c r="B144">
        <v>3142</v>
      </c>
      <c r="C144" t="s">
        <v>167</v>
      </c>
      <c r="D144" t="s">
        <v>249</v>
      </c>
      <c r="E144" t="s">
        <v>160</v>
      </c>
      <c r="F144" t="s">
        <v>255</v>
      </c>
      <c r="G144">
        <v>995</v>
      </c>
      <c r="H144" t="s">
        <v>293</v>
      </c>
      <c r="I144">
        <v>863</v>
      </c>
      <c r="J144" t="s">
        <v>257</v>
      </c>
      <c r="K144">
        <v>1</v>
      </c>
      <c r="L144" s="34">
        <v>45778.287499999999</v>
      </c>
      <c r="M144" s="34">
        <v>45778.291666666664</v>
      </c>
      <c r="N144">
        <v>338</v>
      </c>
      <c r="O144">
        <v>98</v>
      </c>
      <c r="P144">
        <v>85</v>
      </c>
      <c r="Q144" s="45">
        <v>54.005184425501838</v>
      </c>
      <c r="R144" t="s">
        <v>75</v>
      </c>
      <c r="S144">
        <v>47</v>
      </c>
    </row>
    <row r="145" spans="1:19">
      <c r="A145">
        <v>2143</v>
      </c>
      <c r="B145">
        <v>3143</v>
      </c>
      <c r="C145" t="s">
        <v>183</v>
      </c>
      <c r="D145" t="s">
        <v>195</v>
      </c>
      <c r="E145" t="s">
        <v>160</v>
      </c>
      <c r="F145" t="s">
        <v>265</v>
      </c>
      <c r="G145">
        <v>488</v>
      </c>
      <c r="H145" t="s">
        <v>283</v>
      </c>
      <c r="I145">
        <v>285</v>
      </c>
      <c r="J145" t="s">
        <v>171</v>
      </c>
      <c r="K145">
        <v>3</v>
      </c>
      <c r="L145" s="34">
        <v>45979.145138888889</v>
      </c>
      <c r="M145" s="34">
        <v>45979.151388888888</v>
      </c>
      <c r="N145">
        <v>555</v>
      </c>
      <c r="O145">
        <v>26</v>
      </c>
      <c r="P145">
        <v>91</v>
      </c>
      <c r="Q145" s="45">
        <v>97.463731063445422</v>
      </c>
      <c r="R145" t="s">
        <v>82</v>
      </c>
      <c r="S145">
        <v>45</v>
      </c>
    </row>
    <row r="146" spans="1:19">
      <c r="A146">
        <v>2144</v>
      </c>
      <c r="B146">
        <v>3144</v>
      </c>
      <c r="C146" t="s">
        <v>217</v>
      </c>
      <c r="D146" t="s">
        <v>224</v>
      </c>
      <c r="E146" t="s">
        <v>209</v>
      </c>
      <c r="F146" t="s">
        <v>260</v>
      </c>
      <c r="G146">
        <v>796</v>
      </c>
      <c r="H146" t="s">
        <v>299</v>
      </c>
      <c r="I146">
        <v>344</v>
      </c>
      <c r="J146" t="s">
        <v>248</v>
      </c>
      <c r="K146">
        <v>1</v>
      </c>
      <c r="L146" s="34">
        <v>45798.38958333333</v>
      </c>
      <c r="M146" s="34">
        <v>45798.390972222223</v>
      </c>
      <c r="N146">
        <v>129</v>
      </c>
      <c r="O146">
        <v>62</v>
      </c>
      <c r="P146">
        <v>75</v>
      </c>
      <c r="Q146" s="45">
        <v>45.81588236389976</v>
      </c>
      <c r="R146" t="s">
        <v>75</v>
      </c>
      <c r="S146">
        <v>9</v>
      </c>
    </row>
    <row r="147" spans="1:19">
      <c r="A147">
        <v>2145</v>
      </c>
      <c r="B147">
        <v>3145</v>
      </c>
      <c r="C147" t="s">
        <v>167</v>
      </c>
      <c r="D147" t="s">
        <v>84</v>
      </c>
      <c r="E147" t="s">
        <v>275</v>
      </c>
      <c r="F147" t="s">
        <v>262</v>
      </c>
      <c r="G147">
        <v>986</v>
      </c>
      <c r="H147" t="s">
        <v>302</v>
      </c>
      <c r="I147">
        <v>915</v>
      </c>
      <c r="J147" t="s">
        <v>246</v>
      </c>
      <c r="K147">
        <v>2</v>
      </c>
      <c r="L147" s="34">
        <v>45889.602083333331</v>
      </c>
      <c r="M147" s="34">
        <v>45889.604861111111</v>
      </c>
      <c r="N147">
        <v>275</v>
      </c>
      <c r="O147">
        <v>7</v>
      </c>
      <c r="P147">
        <v>83</v>
      </c>
      <c r="Q147" s="45">
        <v>65.547076223776273</v>
      </c>
      <c r="R147" t="s">
        <v>82</v>
      </c>
      <c r="S147">
        <v>5</v>
      </c>
    </row>
    <row r="148" spans="1:19">
      <c r="A148">
        <v>2146</v>
      </c>
      <c r="B148">
        <v>3146</v>
      </c>
      <c r="C148" t="s">
        <v>217</v>
      </c>
      <c r="D148" t="s">
        <v>215</v>
      </c>
      <c r="E148" t="s">
        <v>209</v>
      </c>
      <c r="F148" t="s">
        <v>262</v>
      </c>
      <c r="G148">
        <v>622</v>
      </c>
      <c r="H148" t="s">
        <v>296</v>
      </c>
      <c r="I148">
        <v>734</v>
      </c>
      <c r="J148" t="s">
        <v>248</v>
      </c>
      <c r="K148">
        <v>3</v>
      </c>
      <c r="L148" s="34">
        <v>45674.345138888886</v>
      </c>
      <c r="M148" s="34">
        <v>45674.350694444445</v>
      </c>
      <c r="N148">
        <v>453</v>
      </c>
      <c r="O148">
        <v>20</v>
      </c>
      <c r="P148">
        <v>63</v>
      </c>
      <c r="Q148" s="45">
        <v>79.927671484700667</v>
      </c>
      <c r="R148" t="s">
        <v>82</v>
      </c>
      <c r="S148">
        <v>14</v>
      </c>
    </row>
    <row r="149" spans="1:19">
      <c r="A149">
        <v>2147</v>
      </c>
      <c r="B149">
        <v>3147</v>
      </c>
      <c r="C149" t="s">
        <v>253</v>
      </c>
      <c r="D149" t="s">
        <v>164</v>
      </c>
      <c r="E149" t="s">
        <v>275</v>
      </c>
      <c r="F149" t="s">
        <v>157</v>
      </c>
      <c r="G149">
        <v>578</v>
      </c>
      <c r="H149" t="s">
        <v>296</v>
      </c>
      <c r="I149">
        <v>618</v>
      </c>
      <c r="J149" t="s">
        <v>174</v>
      </c>
      <c r="K149">
        <v>1</v>
      </c>
      <c r="L149" s="34">
        <v>45821.304861111108</v>
      </c>
      <c r="M149" s="34">
        <v>45821.307638888888</v>
      </c>
      <c r="N149">
        <v>205</v>
      </c>
      <c r="O149">
        <v>71</v>
      </c>
      <c r="P149">
        <v>56</v>
      </c>
      <c r="Q149" s="45">
        <v>46.81435521617275</v>
      </c>
      <c r="R149" t="s">
        <v>75</v>
      </c>
      <c r="S149">
        <v>24</v>
      </c>
    </row>
    <row r="150" spans="1:19">
      <c r="A150">
        <v>2148</v>
      </c>
      <c r="B150">
        <v>3148</v>
      </c>
      <c r="C150" t="s">
        <v>251</v>
      </c>
      <c r="D150" t="s">
        <v>261</v>
      </c>
      <c r="E150" t="s">
        <v>169</v>
      </c>
      <c r="F150" t="s">
        <v>262</v>
      </c>
      <c r="G150">
        <v>520</v>
      </c>
      <c r="H150" t="s">
        <v>290</v>
      </c>
      <c r="I150">
        <v>946</v>
      </c>
      <c r="J150" t="s">
        <v>264</v>
      </c>
      <c r="K150">
        <v>2</v>
      </c>
      <c r="L150" s="34">
        <v>45726.692361111112</v>
      </c>
      <c r="M150" s="34">
        <v>45726.699305555558</v>
      </c>
      <c r="N150">
        <v>597</v>
      </c>
      <c r="O150">
        <v>31</v>
      </c>
      <c r="P150">
        <v>69</v>
      </c>
      <c r="Q150" s="45">
        <v>100</v>
      </c>
      <c r="R150" t="s">
        <v>82</v>
      </c>
      <c r="S150">
        <v>17</v>
      </c>
    </row>
    <row r="151" spans="1:19">
      <c r="A151">
        <v>2149</v>
      </c>
      <c r="B151">
        <v>3149</v>
      </c>
      <c r="C151" t="s">
        <v>190</v>
      </c>
      <c r="D151" t="s">
        <v>84</v>
      </c>
      <c r="E151" t="s">
        <v>275</v>
      </c>
      <c r="F151" t="s">
        <v>181</v>
      </c>
      <c r="G151">
        <v>683</v>
      </c>
      <c r="H151" t="s">
        <v>287</v>
      </c>
      <c r="I151">
        <v>884</v>
      </c>
      <c r="J151" t="s">
        <v>213</v>
      </c>
      <c r="K151">
        <v>3</v>
      </c>
      <c r="L151" s="34">
        <v>45928.72152777778</v>
      </c>
      <c r="M151" s="34">
        <v>45928.725694444445</v>
      </c>
      <c r="N151">
        <v>385</v>
      </c>
      <c r="O151">
        <v>63</v>
      </c>
      <c r="P151">
        <v>93</v>
      </c>
      <c r="Q151" s="45">
        <v>57.219723615211052</v>
      </c>
      <c r="R151" t="s">
        <v>75</v>
      </c>
      <c r="S151">
        <v>41</v>
      </c>
    </row>
    <row r="152" spans="1:19">
      <c r="A152">
        <v>2150</v>
      </c>
      <c r="B152">
        <v>3150</v>
      </c>
      <c r="C152" t="s">
        <v>227</v>
      </c>
      <c r="D152" t="s">
        <v>70</v>
      </c>
      <c r="E152" t="s">
        <v>274</v>
      </c>
      <c r="F152" t="s">
        <v>270</v>
      </c>
      <c r="G152">
        <v>499</v>
      </c>
      <c r="H152" t="s">
        <v>292</v>
      </c>
      <c r="I152">
        <v>930</v>
      </c>
      <c r="J152" t="s">
        <v>254</v>
      </c>
      <c r="K152">
        <v>2</v>
      </c>
      <c r="L152" s="34">
        <v>45787.705555555556</v>
      </c>
      <c r="M152" s="34">
        <v>45787.709722222222</v>
      </c>
      <c r="N152">
        <v>345</v>
      </c>
      <c r="O152">
        <v>69</v>
      </c>
      <c r="P152">
        <v>63</v>
      </c>
      <c r="Q152" s="45">
        <v>60.92288911704847</v>
      </c>
      <c r="R152" t="s">
        <v>75</v>
      </c>
      <c r="S152">
        <v>30</v>
      </c>
    </row>
    <row r="153" spans="1:19">
      <c r="A153">
        <v>2151</v>
      </c>
      <c r="B153">
        <v>3151</v>
      </c>
      <c r="C153" t="s">
        <v>188</v>
      </c>
      <c r="D153" t="s">
        <v>202</v>
      </c>
      <c r="E153" t="s">
        <v>160</v>
      </c>
      <c r="F153" t="s">
        <v>262</v>
      </c>
      <c r="G153">
        <v>417</v>
      </c>
      <c r="H153" t="s">
        <v>276</v>
      </c>
      <c r="I153">
        <v>526</v>
      </c>
      <c r="J153" t="s">
        <v>229</v>
      </c>
      <c r="K153">
        <v>2</v>
      </c>
      <c r="L153" s="34">
        <v>45841.324305555558</v>
      </c>
      <c r="M153" s="34">
        <v>45841.325694444444</v>
      </c>
      <c r="N153">
        <v>147</v>
      </c>
      <c r="O153">
        <v>52</v>
      </c>
      <c r="P153">
        <v>64</v>
      </c>
      <c r="Q153" s="45">
        <v>27.257663937203738</v>
      </c>
      <c r="R153" t="s">
        <v>75</v>
      </c>
      <c r="S153">
        <v>23</v>
      </c>
    </row>
    <row r="154" spans="1:19">
      <c r="A154">
        <v>2152</v>
      </c>
      <c r="B154">
        <v>3152</v>
      </c>
      <c r="C154" t="s">
        <v>227</v>
      </c>
      <c r="D154" t="s">
        <v>168</v>
      </c>
      <c r="E154" t="s">
        <v>177</v>
      </c>
      <c r="F154" t="s">
        <v>266</v>
      </c>
      <c r="G154">
        <v>628</v>
      </c>
      <c r="H154" t="s">
        <v>294</v>
      </c>
      <c r="I154">
        <v>720</v>
      </c>
      <c r="J154" t="s">
        <v>174</v>
      </c>
      <c r="K154">
        <v>2</v>
      </c>
      <c r="L154" s="34">
        <v>45917.34097222222</v>
      </c>
      <c r="M154" s="34">
        <v>45917.342361111114</v>
      </c>
      <c r="N154">
        <v>142</v>
      </c>
      <c r="O154">
        <v>34</v>
      </c>
      <c r="P154">
        <v>90</v>
      </c>
      <c r="Q154" s="45">
        <v>17.633933617019643</v>
      </c>
      <c r="R154" t="s">
        <v>82</v>
      </c>
      <c r="S154">
        <v>5</v>
      </c>
    </row>
    <row r="155" spans="1:19">
      <c r="A155">
        <v>2153</v>
      </c>
      <c r="B155">
        <v>3153</v>
      </c>
      <c r="C155" t="s">
        <v>245</v>
      </c>
      <c r="D155" t="s">
        <v>215</v>
      </c>
      <c r="E155" t="s">
        <v>187</v>
      </c>
      <c r="F155" t="s">
        <v>260</v>
      </c>
      <c r="G155">
        <v>246</v>
      </c>
      <c r="H155" t="s">
        <v>282</v>
      </c>
      <c r="I155">
        <v>723</v>
      </c>
      <c r="J155" t="s">
        <v>257</v>
      </c>
      <c r="K155">
        <v>3</v>
      </c>
      <c r="L155" s="34">
        <v>45676.932638888888</v>
      </c>
      <c r="M155" s="34">
        <v>45676.938888888886</v>
      </c>
      <c r="N155">
        <v>523</v>
      </c>
      <c r="O155">
        <v>43</v>
      </c>
      <c r="P155">
        <v>50</v>
      </c>
      <c r="Q155" s="45">
        <v>85.111762578745868</v>
      </c>
      <c r="R155" t="s">
        <v>75</v>
      </c>
      <c r="S155">
        <v>17</v>
      </c>
    </row>
    <row r="156" spans="1:19">
      <c r="A156">
        <v>2154</v>
      </c>
      <c r="B156">
        <v>3154</v>
      </c>
      <c r="C156" t="s">
        <v>214</v>
      </c>
      <c r="D156" t="s">
        <v>261</v>
      </c>
      <c r="E156" t="s">
        <v>169</v>
      </c>
      <c r="F156" t="s">
        <v>273</v>
      </c>
      <c r="G156">
        <v>193</v>
      </c>
      <c r="H156" t="s">
        <v>289</v>
      </c>
      <c r="I156">
        <v>793</v>
      </c>
      <c r="J156" t="s">
        <v>257</v>
      </c>
      <c r="K156">
        <v>1</v>
      </c>
      <c r="L156" s="34">
        <v>45849.130555555559</v>
      </c>
      <c r="M156" s="34">
        <v>45849.136111111111</v>
      </c>
      <c r="N156">
        <v>467</v>
      </c>
      <c r="O156">
        <v>28</v>
      </c>
      <c r="P156">
        <v>58</v>
      </c>
      <c r="Q156" s="45">
        <v>81.679383248859253</v>
      </c>
      <c r="R156" t="s">
        <v>82</v>
      </c>
      <c r="S156">
        <v>41</v>
      </c>
    </row>
    <row r="157" spans="1:19">
      <c r="A157">
        <v>2155</v>
      </c>
      <c r="B157">
        <v>3155</v>
      </c>
      <c r="C157" t="s">
        <v>175</v>
      </c>
      <c r="D157" t="s">
        <v>261</v>
      </c>
      <c r="E157" t="s">
        <v>177</v>
      </c>
      <c r="F157" t="s">
        <v>266</v>
      </c>
      <c r="G157">
        <v>406</v>
      </c>
      <c r="H157" t="s">
        <v>280</v>
      </c>
      <c r="I157">
        <v>568</v>
      </c>
      <c r="J157" t="s">
        <v>171</v>
      </c>
      <c r="K157">
        <v>2</v>
      </c>
      <c r="L157" s="34">
        <v>45797.643055555556</v>
      </c>
      <c r="M157" s="34">
        <v>45797.644444444442</v>
      </c>
      <c r="N157">
        <v>123</v>
      </c>
      <c r="O157">
        <v>84</v>
      </c>
      <c r="P157">
        <v>59</v>
      </c>
      <c r="Q157" s="45">
        <v>34.627002016697716</v>
      </c>
      <c r="R157" t="s">
        <v>75</v>
      </c>
      <c r="S157">
        <v>43</v>
      </c>
    </row>
    <row r="158" spans="1:19">
      <c r="A158">
        <v>2156</v>
      </c>
      <c r="B158">
        <v>3156</v>
      </c>
      <c r="C158" t="s">
        <v>159</v>
      </c>
      <c r="D158" t="s">
        <v>215</v>
      </c>
      <c r="E158" t="s">
        <v>274</v>
      </c>
      <c r="F158" t="s">
        <v>258</v>
      </c>
      <c r="G158">
        <v>926</v>
      </c>
      <c r="H158" t="s">
        <v>276</v>
      </c>
      <c r="I158">
        <v>125</v>
      </c>
      <c r="J158" t="s">
        <v>272</v>
      </c>
      <c r="K158">
        <v>1</v>
      </c>
      <c r="L158" s="34">
        <v>45846.855555555558</v>
      </c>
      <c r="M158" s="34">
        <v>45846.856249999997</v>
      </c>
      <c r="N158">
        <v>103</v>
      </c>
      <c r="O158">
        <v>76</v>
      </c>
      <c r="P158">
        <v>68</v>
      </c>
      <c r="Q158" s="45">
        <v>32.222691019329154</v>
      </c>
      <c r="R158" t="s">
        <v>75</v>
      </c>
      <c r="S158">
        <v>38</v>
      </c>
    </row>
    <row r="159" spans="1:19">
      <c r="A159">
        <v>2157</v>
      </c>
      <c r="B159">
        <v>3157</v>
      </c>
      <c r="C159" t="s">
        <v>78</v>
      </c>
      <c r="D159" t="s">
        <v>241</v>
      </c>
      <c r="E159" t="s">
        <v>275</v>
      </c>
      <c r="F159" t="s">
        <v>265</v>
      </c>
      <c r="G159">
        <v>862</v>
      </c>
      <c r="H159" t="s">
        <v>303</v>
      </c>
      <c r="I159">
        <v>255</v>
      </c>
      <c r="J159" t="s">
        <v>246</v>
      </c>
      <c r="K159">
        <v>1</v>
      </c>
      <c r="L159" s="34">
        <v>45762.440972222219</v>
      </c>
      <c r="M159" s="34">
        <v>45762.443055555559</v>
      </c>
      <c r="N159">
        <v>190</v>
      </c>
      <c r="O159">
        <v>100</v>
      </c>
      <c r="P159">
        <v>88</v>
      </c>
      <c r="Q159" s="45">
        <v>24.536109123341717</v>
      </c>
      <c r="R159" t="s">
        <v>75</v>
      </c>
      <c r="S159">
        <v>50</v>
      </c>
    </row>
    <row r="160" spans="1:19">
      <c r="A160">
        <v>2158</v>
      </c>
      <c r="B160">
        <v>3158</v>
      </c>
      <c r="C160" t="s">
        <v>199</v>
      </c>
      <c r="D160" t="s">
        <v>186</v>
      </c>
      <c r="E160" t="s">
        <v>197</v>
      </c>
      <c r="F160" t="s">
        <v>258</v>
      </c>
      <c r="G160">
        <v>823</v>
      </c>
      <c r="H160" t="s">
        <v>296</v>
      </c>
      <c r="I160">
        <v>389</v>
      </c>
      <c r="J160" t="s">
        <v>264</v>
      </c>
      <c r="K160">
        <v>1</v>
      </c>
      <c r="L160" s="34">
        <v>45671.245138888888</v>
      </c>
      <c r="M160" s="34">
        <v>45671.25</v>
      </c>
      <c r="N160">
        <v>429</v>
      </c>
      <c r="O160">
        <v>27</v>
      </c>
      <c r="P160">
        <v>88</v>
      </c>
      <c r="Q160" s="45">
        <v>74.74987591028291</v>
      </c>
      <c r="R160" t="s">
        <v>82</v>
      </c>
      <c r="S160">
        <v>8</v>
      </c>
    </row>
    <row r="161" spans="1:19">
      <c r="A161">
        <v>2159</v>
      </c>
      <c r="B161">
        <v>3159</v>
      </c>
      <c r="C161" t="s">
        <v>245</v>
      </c>
      <c r="D161" t="s">
        <v>241</v>
      </c>
      <c r="E161" t="s">
        <v>197</v>
      </c>
      <c r="F161" t="s">
        <v>271</v>
      </c>
      <c r="G161">
        <v>478</v>
      </c>
      <c r="H161" t="s">
        <v>299</v>
      </c>
      <c r="I161">
        <v>703</v>
      </c>
      <c r="J161" t="s">
        <v>257</v>
      </c>
      <c r="K161">
        <v>3</v>
      </c>
      <c r="L161" s="34">
        <v>45679.0625</v>
      </c>
      <c r="M161" s="34">
        <v>45679.064583333333</v>
      </c>
      <c r="N161">
        <v>225</v>
      </c>
      <c r="O161">
        <v>34</v>
      </c>
      <c r="P161">
        <v>79</v>
      </c>
      <c r="Q161" s="45">
        <v>42.43967910567244</v>
      </c>
      <c r="R161" t="s">
        <v>82</v>
      </c>
      <c r="S161">
        <v>27</v>
      </c>
    </row>
    <row r="162" spans="1:19">
      <c r="A162">
        <v>2160</v>
      </c>
      <c r="B162">
        <v>3160</v>
      </c>
      <c r="C162" t="s">
        <v>167</v>
      </c>
      <c r="D162" t="s">
        <v>180</v>
      </c>
      <c r="E162" t="s">
        <v>197</v>
      </c>
      <c r="F162" t="s">
        <v>268</v>
      </c>
      <c r="G162">
        <v>322</v>
      </c>
      <c r="H162" t="s">
        <v>282</v>
      </c>
      <c r="I162">
        <v>804</v>
      </c>
      <c r="J162" t="s">
        <v>208</v>
      </c>
      <c r="K162">
        <v>2</v>
      </c>
      <c r="L162" s="34">
        <v>45729.984722222223</v>
      </c>
      <c r="M162" s="34">
        <v>45729.990277777775</v>
      </c>
      <c r="N162">
        <v>451</v>
      </c>
      <c r="O162">
        <v>17</v>
      </c>
      <c r="P162">
        <v>66</v>
      </c>
      <c r="Q162" s="45">
        <v>67.93246379003547</v>
      </c>
      <c r="R162" t="s">
        <v>82</v>
      </c>
      <c r="S162">
        <v>40</v>
      </c>
    </row>
    <row r="163" spans="1:19">
      <c r="A163">
        <v>2161</v>
      </c>
      <c r="B163">
        <v>3161</v>
      </c>
      <c r="C163" t="s">
        <v>253</v>
      </c>
      <c r="D163" t="s">
        <v>156</v>
      </c>
      <c r="E163" t="s">
        <v>177</v>
      </c>
      <c r="F163" t="s">
        <v>181</v>
      </c>
      <c r="G163">
        <v>251</v>
      </c>
      <c r="H163" t="s">
        <v>276</v>
      </c>
      <c r="I163">
        <v>814</v>
      </c>
      <c r="J163" t="s">
        <v>171</v>
      </c>
      <c r="K163">
        <v>2</v>
      </c>
      <c r="L163" s="34">
        <v>45672.255555555559</v>
      </c>
      <c r="M163" s="34">
        <v>45672.262499999997</v>
      </c>
      <c r="N163">
        <v>554</v>
      </c>
      <c r="O163">
        <v>22</v>
      </c>
      <c r="P163">
        <v>68</v>
      </c>
      <c r="Q163" s="45">
        <v>98.388204885642821</v>
      </c>
      <c r="R163" t="s">
        <v>82</v>
      </c>
      <c r="S163">
        <v>47</v>
      </c>
    </row>
    <row r="164" spans="1:19">
      <c r="A164">
        <v>2162</v>
      </c>
      <c r="B164">
        <v>3162</v>
      </c>
      <c r="C164" t="s">
        <v>245</v>
      </c>
      <c r="D164" t="s">
        <v>195</v>
      </c>
      <c r="E164" t="s">
        <v>205</v>
      </c>
      <c r="F164" t="s">
        <v>269</v>
      </c>
      <c r="G164">
        <v>575</v>
      </c>
      <c r="H164" t="s">
        <v>304</v>
      </c>
      <c r="I164">
        <v>567</v>
      </c>
      <c r="J164" t="s">
        <v>211</v>
      </c>
      <c r="K164">
        <v>1</v>
      </c>
      <c r="L164" s="34">
        <v>45901.944444444445</v>
      </c>
      <c r="M164" s="34">
        <v>45901.948611111111</v>
      </c>
      <c r="N164">
        <v>365</v>
      </c>
      <c r="O164">
        <v>75</v>
      </c>
      <c r="P164">
        <v>52</v>
      </c>
      <c r="Q164" s="45">
        <v>78.244110011137721</v>
      </c>
      <c r="R164" t="s">
        <v>75</v>
      </c>
      <c r="S164">
        <v>22</v>
      </c>
    </row>
    <row r="165" spans="1:19">
      <c r="A165">
        <v>2163</v>
      </c>
      <c r="B165">
        <v>3163</v>
      </c>
      <c r="C165" t="s">
        <v>206</v>
      </c>
      <c r="D165" t="s">
        <v>168</v>
      </c>
      <c r="E165" t="s">
        <v>169</v>
      </c>
      <c r="F165" t="s">
        <v>239</v>
      </c>
      <c r="G165">
        <v>393</v>
      </c>
      <c r="H165" t="s">
        <v>282</v>
      </c>
      <c r="I165">
        <v>758</v>
      </c>
      <c r="J165" t="s">
        <v>198</v>
      </c>
      <c r="K165">
        <v>1</v>
      </c>
      <c r="L165" s="34">
        <v>45811.915277777778</v>
      </c>
      <c r="M165" s="34">
        <v>45811.920138888891</v>
      </c>
      <c r="N165">
        <v>430</v>
      </c>
      <c r="O165">
        <v>43</v>
      </c>
      <c r="P165">
        <v>77</v>
      </c>
      <c r="Q165" s="45">
        <v>74.562178500187116</v>
      </c>
      <c r="R165" t="s">
        <v>82</v>
      </c>
      <c r="S165">
        <v>5</v>
      </c>
    </row>
    <row r="166" spans="1:19">
      <c r="A166">
        <v>2164</v>
      </c>
      <c r="B166">
        <v>3164</v>
      </c>
      <c r="C166" t="s">
        <v>172</v>
      </c>
      <c r="D166" t="s">
        <v>207</v>
      </c>
      <c r="E166" t="s">
        <v>209</v>
      </c>
      <c r="F166" t="s">
        <v>266</v>
      </c>
      <c r="G166">
        <v>256</v>
      </c>
      <c r="H166" t="s">
        <v>284</v>
      </c>
      <c r="I166">
        <v>147</v>
      </c>
      <c r="J166" t="s">
        <v>240</v>
      </c>
      <c r="K166">
        <v>1</v>
      </c>
      <c r="L166" s="34">
        <v>45782.036111111112</v>
      </c>
      <c r="M166" s="34">
        <v>45782.040277777778</v>
      </c>
      <c r="N166">
        <v>357</v>
      </c>
      <c r="O166">
        <v>80</v>
      </c>
      <c r="P166">
        <v>62</v>
      </c>
      <c r="Q166" s="45">
        <v>62.928091534290324</v>
      </c>
      <c r="R166" t="s">
        <v>75</v>
      </c>
      <c r="S166">
        <v>11</v>
      </c>
    </row>
    <row r="167" spans="1:19">
      <c r="A167">
        <v>2165</v>
      </c>
      <c r="B167">
        <v>3165</v>
      </c>
      <c r="C167" t="s">
        <v>78</v>
      </c>
      <c r="D167" t="s">
        <v>202</v>
      </c>
      <c r="E167" t="s">
        <v>209</v>
      </c>
      <c r="F167" t="s">
        <v>239</v>
      </c>
      <c r="G167">
        <v>824</v>
      </c>
      <c r="H167" t="s">
        <v>288</v>
      </c>
      <c r="I167">
        <v>262</v>
      </c>
      <c r="J167" t="s">
        <v>193</v>
      </c>
      <c r="K167">
        <v>1</v>
      </c>
      <c r="L167" s="34">
        <v>45841.538194444445</v>
      </c>
      <c r="M167" s="34">
        <v>45841.543055555558</v>
      </c>
      <c r="N167">
        <v>391</v>
      </c>
      <c r="O167">
        <v>65</v>
      </c>
      <c r="P167">
        <v>68</v>
      </c>
      <c r="Q167" s="45">
        <v>65.79547180357244</v>
      </c>
      <c r="R167" t="s">
        <v>75</v>
      </c>
      <c r="S167">
        <v>43</v>
      </c>
    </row>
    <row r="168" spans="1:19">
      <c r="A168">
        <v>2166</v>
      </c>
      <c r="B168">
        <v>3166</v>
      </c>
      <c r="C168" t="s">
        <v>163</v>
      </c>
      <c r="D168" t="s">
        <v>191</v>
      </c>
      <c r="E168" t="s">
        <v>197</v>
      </c>
      <c r="F168" t="s">
        <v>270</v>
      </c>
      <c r="G168">
        <v>219</v>
      </c>
      <c r="H168" t="s">
        <v>279</v>
      </c>
      <c r="I168">
        <v>710</v>
      </c>
      <c r="J168" t="s">
        <v>244</v>
      </c>
      <c r="K168">
        <v>1</v>
      </c>
      <c r="L168" s="34">
        <v>45809.854166666664</v>
      </c>
      <c r="M168" s="34">
        <v>45809.855555555558</v>
      </c>
      <c r="N168">
        <v>118</v>
      </c>
      <c r="O168">
        <v>83</v>
      </c>
      <c r="P168">
        <v>61</v>
      </c>
      <c r="Q168" s="45">
        <v>30.680336904699438</v>
      </c>
      <c r="R168" t="s">
        <v>75</v>
      </c>
      <c r="S168">
        <v>29</v>
      </c>
    </row>
    <row r="169" spans="1:19">
      <c r="A169">
        <v>2167</v>
      </c>
      <c r="B169">
        <v>3167</v>
      </c>
      <c r="C169" t="s">
        <v>245</v>
      </c>
      <c r="D169" t="s">
        <v>215</v>
      </c>
      <c r="E169" t="s">
        <v>197</v>
      </c>
      <c r="F169" t="s">
        <v>239</v>
      </c>
      <c r="G169">
        <v>878</v>
      </c>
      <c r="H169" t="s">
        <v>297</v>
      </c>
      <c r="I169">
        <v>720</v>
      </c>
      <c r="J169" t="s">
        <v>248</v>
      </c>
      <c r="K169">
        <v>2</v>
      </c>
      <c r="L169" s="34">
        <v>45778.425694444442</v>
      </c>
      <c r="M169" s="34">
        <v>45778.432638888888</v>
      </c>
      <c r="N169">
        <v>574</v>
      </c>
      <c r="O169">
        <v>29</v>
      </c>
      <c r="P169">
        <v>98</v>
      </c>
      <c r="Q169" s="45">
        <v>89.166677161396592</v>
      </c>
      <c r="R169" t="s">
        <v>82</v>
      </c>
      <c r="S169">
        <v>24</v>
      </c>
    </row>
    <row r="170" spans="1:19">
      <c r="A170">
        <v>2168</v>
      </c>
      <c r="B170">
        <v>3168</v>
      </c>
      <c r="C170" t="s">
        <v>245</v>
      </c>
      <c r="D170" t="s">
        <v>156</v>
      </c>
      <c r="E170" t="s">
        <v>275</v>
      </c>
      <c r="F170" t="s">
        <v>255</v>
      </c>
      <c r="G170">
        <v>280</v>
      </c>
      <c r="H170" t="s">
        <v>301</v>
      </c>
      <c r="I170">
        <v>743</v>
      </c>
      <c r="J170" t="s">
        <v>246</v>
      </c>
      <c r="K170">
        <v>2</v>
      </c>
      <c r="L170" s="34">
        <v>45782.130555555559</v>
      </c>
      <c r="M170" s="34">
        <v>45782.133333333331</v>
      </c>
      <c r="N170">
        <v>261</v>
      </c>
      <c r="O170">
        <v>16</v>
      </c>
      <c r="P170">
        <v>52</v>
      </c>
      <c r="Q170" s="45">
        <v>50.138153506187599</v>
      </c>
      <c r="R170" t="s">
        <v>82</v>
      </c>
      <c r="S170">
        <v>40</v>
      </c>
    </row>
    <row r="171" spans="1:19">
      <c r="A171">
        <v>2169</v>
      </c>
      <c r="B171">
        <v>3169</v>
      </c>
      <c r="C171" t="s">
        <v>163</v>
      </c>
      <c r="D171" t="s">
        <v>202</v>
      </c>
      <c r="E171" t="s">
        <v>177</v>
      </c>
      <c r="F171" t="s">
        <v>259</v>
      </c>
      <c r="G171">
        <v>900</v>
      </c>
      <c r="H171" t="s">
        <v>300</v>
      </c>
      <c r="I171">
        <v>184</v>
      </c>
      <c r="J171" t="s">
        <v>220</v>
      </c>
      <c r="K171">
        <v>2</v>
      </c>
      <c r="L171" s="34">
        <v>45900.245138888888</v>
      </c>
      <c r="M171" s="34">
        <v>45900.249305555553</v>
      </c>
      <c r="N171">
        <v>338</v>
      </c>
      <c r="O171">
        <v>38</v>
      </c>
      <c r="P171">
        <v>74</v>
      </c>
      <c r="Q171" s="45">
        <v>60.160899730323152</v>
      </c>
      <c r="R171" t="s">
        <v>82</v>
      </c>
      <c r="S171">
        <v>26</v>
      </c>
    </row>
    <row r="172" spans="1:19">
      <c r="A172">
        <v>2170</v>
      </c>
      <c r="B172">
        <v>3170</v>
      </c>
      <c r="C172" t="s">
        <v>214</v>
      </c>
      <c r="D172" t="s">
        <v>156</v>
      </c>
      <c r="E172" t="s">
        <v>197</v>
      </c>
      <c r="F172" t="s">
        <v>259</v>
      </c>
      <c r="G172">
        <v>905</v>
      </c>
      <c r="H172" t="s">
        <v>288</v>
      </c>
      <c r="I172">
        <v>849</v>
      </c>
      <c r="J172" t="s">
        <v>204</v>
      </c>
      <c r="K172">
        <v>2</v>
      </c>
      <c r="L172" s="34">
        <v>45835.220833333333</v>
      </c>
      <c r="M172" s="34">
        <v>45835.226388888892</v>
      </c>
      <c r="N172">
        <v>471</v>
      </c>
      <c r="O172">
        <v>14</v>
      </c>
      <c r="P172">
        <v>89</v>
      </c>
      <c r="Q172" s="45">
        <v>81.14648815753381</v>
      </c>
      <c r="R172" t="s">
        <v>82</v>
      </c>
      <c r="S172">
        <v>12</v>
      </c>
    </row>
    <row r="173" spans="1:19">
      <c r="A173">
        <v>2171</v>
      </c>
      <c r="B173">
        <v>3171</v>
      </c>
      <c r="C173" t="s">
        <v>155</v>
      </c>
      <c r="D173" t="s">
        <v>234</v>
      </c>
      <c r="E173" t="s">
        <v>275</v>
      </c>
      <c r="F173" t="s">
        <v>270</v>
      </c>
      <c r="G173">
        <v>644</v>
      </c>
      <c r="H173" t="s">
        <v>287</v>
      </c>
      <c r="I173">
        <v>691</v>
      </c>
      <c r="J173" t="s">
        <v>244</v>
      </c>
      <c r="K173">
        <v>2</v>
      </c>
      <c r="L173" s="34">
        <v>45731.650694444441</v>
      </c>
      <c r="M173" s="34">
        <v>45731.651388888888</v>
      </c>
      <c r="N173">
        <v>85</v>
      </c>
      <c r="O173">
        <v>98</v>
      </c>
      <c r="P173">
        <v>97</v>
      </c>
      <c r="Q173" s="45">
        <v>18.696538242800223</v>
      </c>
      <c r="R173" t="s">
        <v>75</v>
      </c>
      <c r="S173">
        <v>48</v>
      </c>
    </row>
    <row r="174" spans="1:19">
      <c r="A174">
        <v>2172</v>
      </c>
      <c r="B174">
        <v>3172</v>
      </c>
      <c r="C174" t="s">
        <v>253</v>
      </c>
      <c r="D174" t="s">
        <v>186</v>
      </c>
      <c r="E174" t="s">
        <v>275</v>
      </c>
      <c r="F174" t="s">
        <v>260</v>
      </c>
      <c r="G174">
        <v>180</v>
      </c>
      <c r="H174" t="s">
        <v>295</v>
      </c>
      <c r="I174">
        <v>147</v>
      </c>
      <c r="J174" t="s">
        <v>222</v>
      </c>
      <c r="K174">
        <v>1</v>
      </c>
      <c r="L174" s="34">
        <v>45811.027777777781</v>
      </c>
      <c r="M174" s="34">
        <v>45811.033333333333</v>
      </c>
      <c r="N174">
        <v>519</v>
      </c>
      <c r="O174">
        <v>32</v>
      </c>
      <c r="P174">
        <v>68</v>
      </c>
      <c r="Q174" s="45">
        <v>80.549548813034818</v>
      </c>
      <c r="R174" t="s">
        <v>82</v>
      </c>
      <c r="S174">
        <v>44</v>
      </c>
    </row>
    <row r="175" spans="1:19">
      <c r="A175">
        <v>2173</v>
      </c>
      <c r="B175">
        <v>3173</v>
      </c>
      <c r="C175" t="s">
        <v>188</v>
      </c>
      <c r="D175" t="s">
        <v>261</v>
      </c>
      <c r="E175" t="s">
        <v>169</v>
      </c>
      <c r="F175" t="s">
        <v>273</v>
      </c>
      <c r="G175">
        <v>443</v>
      </c>
      <c r="H175" t="s">
        <v>278</v>
      </c>
      <c r="I175">
        <v>487</v>
      </c>
      <c r="J175" t="s">
        <v>244</v>
      </c>
      <c r="K175">
        <v>3</v>
      </c>
      <c r="L175" s="34">
        <v>45965.638888888891</v>
      </c>
      <c r="M175" s="34">
        <v>45965.640972222223</v>
      </c>
      <c r="N175">
        <v>170</v>
      </c>
      <c r="O175">
        <v>66</v>
      </c>
      <c r="P175">
        <v>69</v>
      </c>
      <c r="Q175" s="45">
        <v>33.597830680840666</v>
      </c>
      <c r="R175" t="s">
        <v>75</v>
      </c>
      <c r="S175">
        <v>6</v>
      </c>
    </row>
    <row r="176" spans="1:19">
      <c r="A176">
        <v>2174</v>
      </c>
      <c r="B176">
        <v>3174</v>
      </c>
      <c r="C176" t="s">
        <v>227</v>
      </c>
      <c r="D176" t="s">
        <v>186</v>
      </c>
      <c r="E176" t="s">
        <v>160</v>
      </c>
      <c r="F176" t="s">
        <v>271</v>
      </c>
      <c r="G176">
        <v>742</v>
      </c>
      <c r="H176" t="s">
        <v>283</v>
      </c>
      <c r="I176">
        <v>892</v>
      </c>
      <c r="J176" t="s">
        <v>182</v>
      </c>
      <c r="K176">
        <v>1</v>
      </c>
      <c r="L176" s="34">
        <v>45849.4375</v>
      </c>
      <c r="M176" s="34">
        <v>45849.439583333333</v>
      </c>
      <c r="N176">
        <v>205</v>
      </c>
      <c r="O176">
        <v>59</v>
      </c>
      <c r="P176">
        <v>64</v>
      </c>
      <c r="Q176" s="45">
        <v>44.625894299386928</v>
      </c>
      <c r="R176" t="s">
        <v>75</v>
      </c>
      <c r="S176">
        <v>7</v>
      </c>
    </row>
    <row r="177" spans="1:19">
      <c r="A177">
        <v>2175</v>
      </c>
      <c r="B177">
        <v>3175</v>
      </c>
      <c r="C177" t="s">
        <v>78</v>
      </c>
      <c r="D177" t="s">
        <v>189</v>
      </c>
      <c r="E177" t="s">
        <v>197</v>
      </c>
      <c r="F177" t="s">
        <v>258</v>
      </c>
      <c r="G177">
        <v>807</v>
      </c>
      <c r="H177" t="s">
        <v>303</v>
      </c>
      <c r="I177">
        <v>899</v>
      </c>
      <c r="J177" t="s">
        <v>166</v>
      </c>
      <c r="K177">
        <v>3</v>
      </c>
      <c r="L177" s="34">
        <v>45717.379166666666</v>
      </c>
      <c r="M177" s="34">
        <v>45717.379861111112</v>
      </c>
      <c r="N177">
        <v>94</v>
      </c>
      <c r="O177">
        <v>5</v>
      </c>
      <c r="P177">
        <v>53</v>
      </c>
      <c r="Q177" s="45">
        <v>28.617485572594646</v>
      </c>
      <c r="R177" t="s">
        <v>82</v>
      </c>
      <c r="S177">
        <v>10</v>
      </c>
    </row>
    <row r="178" spans="1:19">
      <c r="A178">
        <v>2176</v>
      </c>
      <c r="B178">
        <v>3176</v>
      </c>
      <c r="C178" t="s">
        <v>78</v>
      </c>
      <c r="D178" t="s">
        <v>221</v>
      </c>
      <c r="E178" t="s">
        <v>160</v>
      </c>
      <c r="F178" t="s">
        <v>269</v>
      </c>
      <c r="G178">
        <v>345</v>
      </c>
      <c r="H178" t="s">
        <v>276</v>
      </c>
      <c r="I178">
        <v>741</v>
      </c>
      <c r="J178" t="s">
        <v>226</v>
      </c>
      <c r="K178">
        <v>2</v>
      </c>
      <c r="L178" s="34">
        <v>45818.027083333334</v>
      </c>
      <c r="M178" s="34">
        <v>45818.033333333333</v>
      </c>
      <c r="N178">
        <v>541</v>
      </c>
      <c r="O178">
        <v>78</v>
      </c>
      <c r="P178">
        <v>61</v>
      </c>
      <c r="Q178" s="45">
        <v>97.653223373435765</v>
      </c>
      <c r="R178" t="s">
        <v>75</v>
      </c>
      <c r="S178">
        <v>22</v>
      </c>
    </row>
    <row r="179" spans="1:19">
      <c r="A179">
        <v>2177</v>
      </c>
      <c r="B179">
        <v>3177</v>
      </c>
      <c r="C179" t="s">
        <v>172</v>
      </c>
      <c r="D179" t="s">
        <v>215</v>
      </c>
      <c r="E179" t="s">
        <v>160</v>
      </c>
      <c r="F179" t="s">
        <v>255</v>
      </c>
      <c r="G179">
        <v>700</v>
      </c>
      <c r="H179" t="s">
        <v>287</v>
      </c>
      <c r="I179">
        <v>276</v>
      </c>
      <c r="J179" t="s">
        <v>238</v>
      </c>
      <c r="K179">
        <v>2</v>
      </c>
      <c r="L179" s="34">
        <v>45862.669444444444</v>
      </c>
      <c r="M179" s="34">
        <v>45862.672222222223</v>
      </c>
      <c r="N179">
        <v>238</v>
      </c>
      <c r="O179">
        <v>75</v>
      </c>
      <c r="P179">
        <v>95</v>
      </c>
      <c r="Q179" s="45">
        <v>40.724164592182163</v>
      </c>
      <c r="R179" t="s">
        <v>75</v>
      </c>
      <c r="S179">
        <v>9</v>
      </c>
    </row>
    <row r="180" spans="1:19">
      <c r="A180">
        <v>2178</v>
      </c>
      <c r="B180">
        <v>3178</v>
      </c>
      <c r="C180" t="s">
        <v>253</v>
      </c>
      <c r="D180" t="s">
        <v>241</v>
      </c>
      <c r="E180" t="s">
        <v>160</v>
      </c>
      <c r="F180" t="s">
        <v>266</v>
      </c>
      <c r="G180">
        <v>832</v>
      </c>
      <c r="H180" t="s">
        <v>303</v>
      </c>
      <c r="I180">
        <v>951</v>
      </c>
      <c r="J180" t="s">
        <v>240</v>
      </c>
      <c r="K180">
        <v>2</v>
      </c>
      <c r="L180" s="34">
        <v>45914.680555555555</v>
      </c>
      <c r="M180" s="34">
        <v>45914.686805555553</v>
      </c>
      <c r="N180">
        <v>520</v>
      </c>
      <c r="O180">
        <v>21</v>
      </c>
      <c r="P180">
        <v>83</v>
      </c>
      <c r="Q180" s="45">
        <v>91.959578763079222</v>
      </c>
      <c r="R180" t="s">
        <v>82</v>
      </c>
      <c r="S180">
        <v>39</v>
      </c>
    </row>
    <row r="181" spans="1:19">
      <c r="A181">
        <v>2179</v>
      </c>
      <c r="B181">
        <v>3179</v>
      </c>
      <c r="C181" t="s">
        <v>245</v>
      </c>
      <c r="D181" t="s">
        <v>234</v>
      </c>
      <c r="E181" t="s">
        <v>177</v>
      </c>
      <c r="F181" t="s">
        <v>203</v>
      </c>
      <c r="G181">
        <v>353</v>
      </c>
      <c r="H181" t="s">
        <v>296</v>
      </c>
      <c r="I181">
        <v>382</v>
      </c>
      <c r="J181" t="s">
        <v>247</v>
      </c>
      <c r="K181">
        <v>2</v>
      </c>
      <c r="L181" s="34">
        <v>45972.477777777778</v>
      </c>
      <c r="M181" s="34">
        <v>45972.482638888891</v>
      </c>
      <c r="N181">
        <v>401</v>
      </c>
      <c r="O181">
        <v>22</v>
      </c>
      <c r="P181">
        <v>65</v>
      </c>
      <c r="Q181" s="45">
        <v>78.811988086143202</v>
      </c>
      <c r="R181" t="s">
        <v>82</v>
      </c>
      <c r="S181">
        <v>18</v>
      </c>
    </row>
    <row r="182" spans="1:19">
      <c r="A182">
        <v>2180</v>
      </c>
      <c r="B182">
        <v>3180</v>
      </c>
      <c r="C182" t="s">
        <v>214</v>
      </c>
      <c r="D182" t="s">
        <v>221</v>
      </c>
      <c r="E182" t="s">
        <v>169</v>
      </c>
      <c r="F182" t="s">
        <v>273</v>
      </c>
      <c r="G182">
        <v>739</v>
      </c>
      <c r="H182" t="s">
        <v>284</v>
      </c>
      <c r="I182">
        <v>379</v>
      </c>
      <c r="J182" t="s">
        <v>198</v>
      </c>
      <c r="K182">
        <v>2</v>
      </c>
      <c r="L182" s="34">
        <v>45974.027083333334</v>
      </c>
      <c r="M182" s="34">
        <v>45974.031944444447</v>
      </c>
      <c r="N182">
        <v>409</v>
      </c>
      <c r="O182">
        <v>21</v>
      </c>
      <c r="P182">
        <v>83</v>
      </c>
      <c r="Q182" s="45">
        <v>65.852608613645046</v>
      </c>
      <c r="R182" t="s">
        <v>82</v>
      </c>
      <c r="S182">
        <v>11</v>
      </c>
    </row>
    <row r="183" spans="1:19">
      <c r="A183">
        <v>2181</v>
      </c>
      <c r="B183">
        <v>3181</v>
      </c>
      <c r="C183" t="s">
        <v>245</v>
      </c>
      <c r="D183" t="s">
        <v>180</v>
      </c>
      <c r="E183" t="s">
        <v>160</v>
      </c>
      <c r="F183" t="s">
        <v>273</v>
      </c>
      <c r="G183">
        <v>250</v>
      </c>
      <c r="H183" t="s">
        <v>301</v>
      </c>
      <c r="I183">
        <v>216</v>
      </c>
      <c r="J183" t="s">
        <v>222</v>
      </c>
      <c r="K183">
        <v>2</v>
      </c>
      <c r="L183" s="34">
        <v>45944.771527777775</v>
      </c>
      <c r="M183" s="34">
        <v>45944.774305555555</v>
      </c>
      <c r="N183">
        <v>245</v>
      </c>
      <c r="O183">
        <v>34</v>
      </c>
      <c r="P183">
        <v>86</v>
      </c>
      <c r="Q183" s="45">
        <v>58.375428115267269</v>
      </c>
      <c r="R183" t="s">
        <v>82</v>
      </c>
      <c r="S183">
        <v>31</v>
      </c>
    </row>
    <row r="184" spans="1:19">
      <c r="A184">
        <v>2182</v>
      </c>
      <c r="B184">
        <v>3182</v>
      </c>
      <c r="C184" t="s">
        <v>217</v>
      </c>
      <c r="D184" t="s">
        <v>176</v>
      </c>
      <c r="E184" t="s">
        <v>160</v>
      </c>
      <c r="F184" t="s">
        <v>273</v>
      </c>
      <c r="G184">
        <v>607</v>
      </c>
      <c r="H184" t="s">
        <v>301</v>
      </c>
      <c r="I184">
        <v>406</v>
      </c>
      <c r="J184" t="s">
        <v>198</v>
      </c>
      <c r="K184">
        <v>3</v>
      </c>
      <c r="L184" s="34">
        <v>45917.894444444442</v>
      </c>
      <c r="M184" s="34">
        <v>45917.899305555555</v>
      </c>
      <c r="N184">
        <v>419</v>
      </c>
      <c r="O184">
        <v>3</v>
      </c>
      <c r="P184">
        <v>52</v>
      </c>
      <c r="Q184" s="45">
        <v>65.019195384196138</v>
      </c>
      <c r="R184" t="s">
        <v>82</v>
      </c>
      <c r="S184">
        <v>9</v>
      </c>
    </row>
    <row r="185" spans="1:19">
      <c r="A185">
        <v>2183</v>
      </c>
      <c r="B185">
        <v>3183</v>
      </c>
      <c r="C185" t="s">
        <v>167</v>
      </c>
      <c r="D185" t="s">
        <v>176</v>
      </c>
      <c r="E185" t="s">
        <v>275</v>
      </c>
      <c r="F185" t="s">
        <v>256</v>
      </c>
      <c r="G185">
        <v>357</v>
      </c>
      <c r="H185" t="s">
        <v>295</v>
      </c>
      <c r="I185">
        <v>288</v>
      </c>
      <c r="J185" t="s">
        <v>240</v>
      </c>
      <c r="K185">
        <v>1</v>
      </c>
      <c r="L185" s="34">
        <v>45671.284722222219</v>
      </c>
      <c r="M185" s="34">
        <v>45671.291666666664</v>
      </c>
      <c r="N185">
        <v>581</v>
      </c>
      <c r="O185">
        <v>53</v>
      </c>
      <c r="P185">
        <v>98</v>
      </c>
      <c r="Q185" s="45">
        <v>100</v>
      </c>
      <c r="R185" t="s">
        <v>82</v>
      </c>
      <c r="S185">
        <v>28</v>
      </c>
    </row>
    <row r="186" spans="1:19">
      <c r="A186">
        <v>2184</v>
      </c>
      <c r="B186">
        <v>3184</v>
      </c>
      <c r="C186" t="s">
        <v>183</v>
      </c>
      <c r="D186" t="s">
        <v>207</v>
      </c>
      <c r="E186" t="s">
        <v>197</v>
      </c>
      <c r="F186" t="s">
        <v>203</v>
      </c>
      <c r="G186">
        <v>263</v>
      </c>
      <c r="H186" t="s">
        <v>304</v>
      </c>
      <c r="I186">
        <v>806</v>
      </c>
      <c r="J186" t="s">
        <v>171</v>
      </c>
      <c r="K186">
        <v>2</v>
      </c>
      <c r="L186" s="34">
        <v>45841.521527777775</v>
      </c>
      <c r="M186" s="34">
        <v>45841.525000000001</v>
      </c>
      <c r="N186">
        <v>341</v>
      </c>
      <c r="O186">
        <v>6</v>
      </c>
      <c r="P186">
        <v>62</v>
      </c>
      <c r="Q186" s="45">
        <v>55.410692861177836</v>
      </c>
      <c r="R186" t="s">
        <v>82</v>
      </c>
      <c r="S186">
        <v>13</v>
      </c>
    </row>
    <row r="187" spans="1:19">
      <c r="A187">
        <v>2185</v>
      </c>
      <c r="B187">
        <v>3185</v>
      </c>
      <c r="C187" t="s">
        <v>159</v>
      </c>
      <c r="D187" t="s">
        <v>84</v>
      </c>
      <c r="E187" t="s">
        <v>274</v>
      </c>
      <c r="F187" t="s">
        <v>263</v>
      </c>
      <c r="G187">
        <v>110</v>
      </c>
      <c r="H187" t="s">
        <v>278</v>
      </c>
      <c r="I187">
        <v>441</v>
      </c>
      <c r="J187" t="s">
        <v>236</v>
      </c>
      <c r="K187">
        <v>1</v>
      </c>
      <c r="L187" s="34">
        <v>45675.990277777775</v>
      </c>
      <c r="M187" s="34">
        <v>45675.991666666669</v>
      </c>
      <c r="N187">
        <v>106</v>
      </c>
      <c r="O187">
        <v>43</v>
      </c>
      <c r="P187">
        <v>78</v>
      </c>
      <c r="Q187" s="45">
        <v>22.891049686882333</v>
      </c>
      <c r="R187" t="s">
        <v>82</v>
      </c>
      <c r="S187">
        <v>22</v>
      </c>
    </row>
    <row r="188" spans="1:19">
      <c r="A188">
        <v>2186</v>
      </c>
      <c r="B188">
        <v>3186</v>
      </c>
      <c r="C188" t="s">
        <v>188</v>
      </c>
      <c r="D188" t="s">
        <v>215</v>
      </c>
      <c r="E188" t="s">
        <v>169</v>
      </c>
      <c r="F188" t="s">
        <v>260</v>
      </c>
      <c r="G188">
        <v>975</v>
      </c>
      <c r="H188" t="s">
        <v>279</v>
      </c>
      <c r="I188">
        <v>136</v>
      </c>
      <c r="J188" t="s">
        <v>162</v>
      </c>
      <c r="K188">
        <v>2</v>
      </c>
      <c r="L188" s="34">
        <v>45872.695833333331</v>
      </c>
      <c r="M188" s="34">
        <v>45872.699305555558</v>
      </c>
      <c r="N188">
        <v>309</v>
      </c>
      <c r="O188">
        <v>55</v>
      </c>
      <c r="P188">
        <v>56</v>
      </c>
      <c r="Q188" s="45">
        <v>60.423471773118152</v>
      </c>
      <c r="R188" t="s">
        <v>75</v>
      </c>
      <c r="S188">
        <v>16</v>
      </c>
    </row>
    <row r="189" spans="1:19">
      <c r="A189">
        <v>2187</v>
      </c>
      <c r="B189">
        <v>3187</v>
      </c>
      <c r="C189" t="s">
        <v>159</v>
      </c>
      <c r="D189" t="s">
        <v>191</v>
      </c>
      <c r="E189" t="s">
        <v>177</v>
      </c>
      <c r="F189" t="s">
        <v>267</v>
      </c>
      <c r="G189">
        <v>524</v>
      </c>
      <c r="H189" t="s">
        <v>303</v>
      </c>
      <c r="I189">
        <v>305</v>
      </c>
      <c r="J189" t="s">
        <v>233</v>
      </c>
      <c r="K189">
        <v>1</v>
      </c>
      <c r="L189" s="34">
        <v>45826.708333333336</v>
      </c>
      <c r="M189" s="34">
        <v>45826.714583333334</v>
      </c>
      <c r="N189">
        <v>530</v>
      </c>
      <c r="O189">
        <v>86</v>
      </c>
      <c r="P189">
        <v>81</v>
      </c>
      <c r="Q189" s="45">
        <v>100</v>
      </c>
      <c r="R189" t="s">
        <v>75</v>
      </c>
      <c r="S189">
        <v>27</v>
      </c>
    </row>
    <row r="190" spans="1:19">
      <c r="A190">
        <v>2188</v>
      </c>
      <c r="B190">
        <v>3188</v>
      </c>
      <c r="C190" t="s">
        <v>163</v>
      </c>
      <c r="D190" t="s">
        <v>84</v>
      </c>
      <c r="E190" t="s">
        <v>197</v>
      </c>
      <c r="F190" t="s">
        <v>273</v>
      </c>
      <c r="G190">
        <v>771</v>
      </c>
      <c r="H190" t="s">
        <v>285</v>
      </c>
      <c r="I190">
        <v>758</v>
      </c>
      <c r="J190" t="s">
        <v>193</v>
      </c>
      <c r="K190">
        <v>2</v>
      </c>
      <c r="L190" s="34">
        <v>45850.65625</v>
      </c>
      <c r="M190" s="34">
        <v>45850.661805555559</v>
      </c>
      <c r="N190">
        <v>493</v>
      </c>
      <c r="O190">
        <v>97</v>
      </c>
      <c r="P190">
        <v>98</v>
      </c>
      <c r="Q190" s="45">
        <v>79.735846481674955</v>
      </c>
      <c r="R190" t="s">
        <v>75</v>
      </c>
      <c r="S190">
        <v>44</v>
      </c>
    </row>
    <row r="191" spans="1:19">
      <c r="A191">
        <v>2189</v>
      </c>
      <c r="B191">
        <v>3189</v>
      </c>
      <c r="C191" t="s">
        <v>183</v>
      </c>
      <c r="D191" t="s">
        <v>234</v>
      </c>
      <c r="E191" t="s">
        <v>275</v>
      </c>
      <c r="F191" t="s">
        <v>258</v>
      </c>
      <c r="G191">
        <v>970</v>
      </c>
      <c r="H191" t="s">
        <v>300</v>
      </c>
      <c r="I191">
        <v>369</v>
      </c>
      <c r="J191" t="s">
        <v>238</v>
      </c>
      <c r="K191">
        <v>3</v>
      </c>
      <c r="L191" s="34">
        <v>45746.054166666669</v>
      </c>
      <c r="M191" s="34">
        <v>45746.056944444441</v>
      </c>
      <c r="N191">
        <v>265</v>
      </c>
      <c r="O191">
        <v>60</v>
      </c>
      <c r="P191">
        <v>83</v>
      </c>
      <c r="Q191" s="45">
        <v>58.825901675869282</v>
      </c>
      <c r="R191" t="s">
        <v>75</v>
      </c>
      <c r="S191">
        <v>48</v>
      </c>
    </row>
    <row r="192" spans="1:19">
      <c r="A192">
        <v>2190</v>
      </c>
      <c r="B192">
        <v>3190</v>
      </c>
      <c r="C192" t="s">
        <v>159</v>
      </c>
      <c r="D192" t="s">
        <v>261</v>
      </c>
      <c r="E192" t="s">
        <v>169</v>
      </c>
      <c r="F192" t="s">
        <v>263</v>
      </c>
      <c r="G192">
        <v>890</v>
      </c>
      <c r="H192" t="s">
        <v>301</v>
      </c>
      <c r="I192">
        <v>889</v>
      </c>
      <c r="J192" t="s">
        <v>162</v>
      </c>
      <c r="K192">
        <v>2</v>
      </c>
      <c r="L192" s="34">
        <v>45780.181250000001</v>
      </c>
      <c r="M192" s="34">
        <v>45780.185416666667</v>
      </c>
      <c r="N192">
        <v>378</v>
      </c>
      <c r="O192">
        <v>9</v>
      </c>
      <c r="P192">
        <v>100</v>
      </c>
      <c r="Q192" s="45">
        <v>64.642143462336463</v>
      </c>
      <c r="R192" t="s">
        <v>82</v>
      </c>
      <c r="S192">
        <v>19</v>
      </c>
    </row>
    <row r="193" spans="1:19">
      <c r="A193">
        <v>2191</v>
      </c>
      <c r="B193">
        <v>3191</v>
      </c>
      <c r="C193" t="s">
        <v>251</v>
      </c>
      <c r="D193" t="s">
        <v>224</v>
      </c>
      <c r="E193" t="s">
        <v>169</v>
      </c>
      <c r="F193" t="s">
        <v>260</v>
      </c>
      <c r="G193">
        <v>155</v>
      </c>
      <c r="H193" t="s">
        <v>288</v>
      </c>
      <c r="I193">
        <v>962</v>
      </c>
      <c r="J193" t="s">
        <v>252</v>
      </c>
      <c r="K193">
        <v>2</v>
      </c>
      <c r="L193" s="34">
        <v>45816.995833333334</v>
      </c>
      <c r="M193" s="34">
        <v>45816.997916666667</v>
      </c>
      <c r="N193">
        <v>184</v>
      </c>
      <c r="O193">
        <v>87</v>
      </c>
      <c r="P193">
        <v>55</v>
      </c>
      <c r="Q193" s="45">
        <v>28.628233820387116</v>
      </c>
      <c r="R193" t="s">
        <v>75</v>
      </c>
      <c r="S193">
        <v>43</v>
      </c>
    </row>
    <row r="194" spans="1:19">
      <c r="A194">
        <v>2192</v>
      </c>
      <c r="B194">
        <v>3192</v>
      </c>
      <c r="C194" t="s">
        <v>183</v>
      </c>
      <c r="D194" t="s">
        <v>241</v>
      </c>
      <c r="E194" t="s">
        <v>177</v>
      </c>
      <c r="F194" t="s">
        <v>268</v>
      </c>
      <c r="G194">
        <v>605</v>
      </c>
      <c r="H194" t="s">
        <v>288</v>
      </c>
      <c r="I194">
        <v>566</v>
      </c>
      <c r="J194" t="s">
        <v>158</v>
      </c>
      <c r="K194">
        <v>2</v>
      </c>
      <c r="L194" s="34">
        <v>45684.740972222222</v>
      </c>
      <c r="M194" s="34">
        <v>45684.743750000001</v>
      </c>
      <c r="N194">
        <v>259</v>
      </c>
      <c r="O194">
        <v>29</v>
      </c>
      <c r="P194">
        <v>78</v>
      </c>
      <c r="Q194" s="45">
        <v>55.476705782268972</v>
      </c>
      <c r="R194" t="s">
        <v>82</v>
      </c>
      <c r="S194">
        <v>27</v>
      </c>
    </row>
    <row r="195" spans="1:19">
      <c r="A195">
        <v>2193</v>
      </c>
      <c r="B195">
        <v>3193</v>
      </c>
      <c r="C195" t="s">
        <v>214</v>
      </c>
      <c r="D195" t="s">
        <v>215</v>
      </c>
      <c r="E195" t="s">
        <v>274</v>
      </c>
      <c r="F195" t="s">
        <v>255</v>
      </c>
      <c r="G195">
        <v>714</v>
      </c>
      <c r="H195" t="s">
        <v>295</v>
      </c>
      <c r="I195">
        <v>554</v>
      </c>
      <c r="J195" t="s">
        <v>236</v>
      </c>
      <c r="K195">
        <v>1</v>
      </c>
      <c r="L195" s="34">
        <v>45907.801388888889</v>
      </c>
      <c r="M195" s="34">
        <v>45907.802777777775</v>
      </c>
      <c r="N195">
        <v>113</v>
      </c>
      <c r="O195">
        <v>41</v>
      </c>
      <c r="P195">
        <v>72</v>
      </c>
      <c r="Q195" s="45">
        <v>33.211118562814718</v>
      </c>
      <c r="R195" t="s">
        <v>82</v>
      </c>
      <c r="S195">
        <v>11</v>
      </c>
    </row>
    <row r="196" spans="1:19">
      <c r="A196">
        <v>2194</v>
      </c>
      <c r="B196">
        <v>3194</v>
      </c>
      <c r="C196" t="s">
        <v>223</v>
      </c>
      <c r="D196" t="s">
        <v>202</v>
      </c>
      <c r="E196" t="s">
        <v>209</v>
      </c>
      <c r="F196" t="s">
        <v>265</v>
      </c>
      <c r="G196">
        <v>701</v>
      </c>
      <c r="H196" t="s">
        <v>287</v>
      </c>
      <c r="I196">
        <v>448</v>
      </c>
      <c r="J196" t="s">
        <v>232</v>
      </c>
      <c r="K196">
        <v>1</v>
      </c>
      <c r="L196" s="34">
        <v>45802.173611111109</v>
      </c>
      <c r="M196" s="34">
        <v>45802.175694444442</v>
      </c>
      <c r="N196">
        <v>130</v>
      </c>
      <c r="O196">
        <v>29</v>
      </c>
      <c r="P196">
        <v>75</v>
      </c>
      <c r="Q196" s="45">
        <v>26.475519835844647</v>
      </c>
      <c r="R196" t="s">
        <v>82</v>
      </c>
      <c r="S196">
        <v>40</v>
      </c>
    </row>
    <row r="197" spans="1:19">
      <c r="A197">
        <v>2195</v>
      </c>
      <c r="B197">
        <v>3195</v>
      </c>
      <c r="C197" t="s">
        <v>155</v>
      </c>
      <c r="D197" t="s">
        <v>186</v>
      </c>
      <c r="E197" t="s">
        <v>275</v>
      </c>
      <c r="F197" t="s">
        <v>239</v>
      </c>
      <c r="G197">
        <v>457</v>
      </c>
      <c r="H197" t="s">
        <v>297</v>
      </c>
      <c r="I197">
        <v>202</v>
      </c>
      <c r="J197" t="s">
        <v>211</v>
      </c>
      <c r="K197">
        <v>2</v>
      </c>
      <c r="L197" s="34">
        <v>45675.091666666667</v>
      </c>
      <c r="M197" s="34">
        <v>45675.097222222219</v>
      </c>
      <c r="N197">
        <v>474</v>
      </c>
      <c r="O197">
        <v>83</v>
      </c>
      <c r="P197">
        <v>86</v>
      </c>
      <c r="Q197" s="45">
        <v>81.008274145176273</v>
      </c>
      <c r="R197" t="s">
        <v>75</v>
      </c>
      <c r="S197">
        <v>15</v>
      </c>
    </row>
    <row r="198" spans="1:19">
      <c r="A198">
        <v>2196</v>
      </c>
      <c r="B198">
        <v>3196</v>
      </c>
      <c r="C198" t="s">
        <v>206</v>
      </c>
      <c r="D198" t="s">
        <v>195</v>
      </c>
      <c r="E198" t="s">
        <v>160</v>
      </c>
      <c r="F198" t="s">
        <v>268</v>
      </c>
      <c r="G198">
        <v>534</v>
      </c>
      <c r="H198" t="s">
        <v>304</v>
      </c>
      <c r="I198">
        <v>837</v>
      </c>
      <c r="J198" t="s">
        <v>204</v>
      </c>
      <c r="K198">
        <v>2</v>
      </c>
      <c r="L198" s="34">
        <v>45988.338194444441</v>
      </c>
      <c r="M198" s="34">
        <v>45988.344444444447</v>
      </c>
      <c r="N198">
        <v>540</v>
      </c>
      <c r="O198">
        <v>34</v>
      </c>
      <c r="P198">
        <v>92</v>
      </c>
      <c r="Q198" s="45">
        <v>93.231994217573572</v>
      </c>
      <c r="R198" t="s">
        <v>82</v>
      </c>
      <c r="S198">
        <v>38</v>
      </c>
    </row>
    <row r="199" spans="1:19">
      <c r="A199">
        <v>2197</v>
      </c>
      <c r="B199">
        <v>3197</v>
      </c>
      <c r="C199" t="s">
        <v>163</v>
      </c>
      <c r="D199" t="s">
        <v>176</v>
      </c>
      <c r="E199" t="s">
        <v>160</v>
      </c>
      <c r="F199" t="s">
        <v>259</v>
      </c>
      <c r="G199">
        <v>520</v>
      </c>
      <c r="H199" t="s">
        <v>278</v>
      </c>
      <c r="I199">
        <v>196</v>
      </c>
      <c r="J199" t="s">
        <v>238</v>
      </c>
      <c r="K199">
        <v>2</v>
      </c>
      <c r="L199" s="34">
        <v>45969.018750000003</v>
      </c>
      <c r="M199" s="34">
        <v>45969.023611111108</v>
      </c>
      <c r="N199">
        <v>431</v>
      </c>
      <c r="O199">
        <v>65</v>
      </c>
      <c r="P199">
        <v>71</v>
      </c>
      <c r="Q199" s="45">
        <v>77.226088655537907</v>
      </c>
      <c r="R199" t="s">
        <v>75</v>
      </c>
      <c r="S199">
        <v>34</v>
      </c>
    </row>
    <row r="200" spans="1:19">
      <c r="A200">
        <v>2198</v>
      </c>
      <c r="B200">
        <v>3198</v>
      </c>
      <c r="C200" t="s">
        <v>194</v>
      </c>
      <c r="D200" t="s">
        <v>195</v>
      </c>
      <c r="E200" t="s">
        <v>209</v>
      </c>
      <c r="F200" t="s">
        <v>273</v>
      </c>
      <c r="G200">
        <v>876</v>
      </c>
      <c r="H200" t="s">
        <v>296</v>
      </c>
      <c r="I200">
        <v>632</v>
      </c>
      <c r="J200" t="s">
        <v>218</v>
      </c>
      <c r="K200">
        <v>1</v>
      </c>
      <c r="L200" s="34">
        <v>45911.632638888892</v>
      </c>
      <c r="M200" s="34">
        <v>45911.638888888891</v>
      </c>
      <c r="N200">
        <v>539</v>
      </c>
      <c r="O200">
        <v>26</v>
      </c>
      <c r="P200">
        <v>83</v>
      </c>
      <c r="Q200" s="45">
        <v>88.270945277189242</v>
      </c>
      <c r="R200" t="s">
        <v>82</v>
      </c>
      <c r="S200">
        <v>7</v>
      </c>
    </row>
    <row r="201" spans="1:19">
      <c r="A201">
        <v>2199</v>
      </c>
      <c r="B201">
        <v>3199</v>
      </c>
      <c r="C201" t="s">
        <v>78</v>
      </c>
      <c r="D201" t="s">
        <v>186</v>
      </c>
      <c r="E201" t="s">
        <v>274</v>
      </c>
      <c r="F201" t="s">
        <v>263</v>
      </c>
      <c r="G201">
        <v>480</v>
      </c>
      <c r="H201" t="s">
        <v>289</v>
      </c>
      <c r="I201">
        <v>605</v>
      </c>
      <c r="J201" t="s">
        <v>235</v>
      </c>
      <c r="K201">
        <v>1</v>
      </c>
      <c r="L201" s="34">
        <v>45931.156944444447</v>
      </c>
      <c r="M201" s="34">
        <v>45931.160416666666</v>
      </c>
      <c r="N201">
        <v>355</v>
      </c>
      <c r="O201">
        <v>28</v>
      </c>
      <c r="P201">
        <v>65</v>
      </c>
      <c r="Q201" s="45">
        <v>60.826889395523963</v>
      </c>
      <c r="R201" t="s">
        <v>82</v>
      </c>
      <c r="S201">
        <v>37</v>
      </c>
    </row>
    <row r="202" spans="1:19">
      <c r="A202">
        <v>2200</v>
      </c>
      <c r="B202">
        <v>3200</v>
      </c>
      <c r="C202" t="s">
        <v>253</v>
      </c>
      <c r="D202" t="s">
        <v>261</v>
      </c>
      <c r="E202" t="s">
        <v>197</v>
      </c>
      <c r="F202" t="s">
        <v>266</v>
      </c>
      <c r="G202">
        <v>478</v>
      </c>
      <c r="H202" t="s">
        <v>300</v>
      </c>
      <c r="I202">
        <v>188</v>
      </c>
      <c r="J202" t="s">
        <v>238</v>
      </c>
      <c r="K202">
        <v>3</v>
      </c>
      <c r="L202" s="34">
        <v>45723.506944444445</v>
      </c>
      <c r="M202" s="34">
        <v>45723.508333333331</v>
      </c>
      <c r="N202">
        <v>144</v>
      </c>
      <c r="O202">
        <v>85</v>
      </c>
      <c r="P202">
        <v>85</v>
      </c>
      <c r="Q202" s="45">
        <v>28.577588630631585</v>
      </c>
      <c r="R202" t="s">
        <v>75</v>
      </c>
      <c r="S202">
        <v>39</v>
      </c>
    </row>
    <row r="203" spans="1:19">
      <c r="A203">
        <v>2201</v>
      </c>
      <c r="B203">
        <v>3201</v>
      </c>
      <c r="C203" t="s">
        <v>188</v>
      </c>
      <c r="D203" t="s">
        <v>234</v>
      </c>
      <c r="E203" t="s">
        <v>160</v>
      </c>
      <c r="F203" t="s">
        <v>203</v>
      </c>
      <c r="G203">
        <v>818</v>
      </c>
      <c r="H203" t="s">
        <v>279</v>
      </c>
      <c r="I203">
        <v>570</v>
      </c>
      <c r="J203" t="s">
        <v>238</v>
      </c>
      <c r="K203">
        <v>3</v>
      </c>
      <c r="L203" s="34">
        <v>45862.379861111112</v>
      </c>
      <c r="M203" s="34">
        <v>45862.381249999999</v>
      </c>
      <c r="N203">
        <v>163</v>
      </c>
      <c r="O203">
        <v>5</v>
      </c>
      <c r="P203">
        <v>51</v>
      </c>
      <c r="Q203" s="45">
        <v>42.820862629012588</v>
      </c>
      <c r="R203" t="s">
        <v>82</v>
      </c>
      <c r="S203">
        <v>30</v>
      </c>
    </row>
    <row r="204" spans="1:19">
      <c r="A204">
        <v>2202</v>
      </c>
      <c r="B204">
        <v>3202</v>
      </c>
      <c r="C204" t="s">
        <v>163</v>
      </c>
      <c r="D204" t="s">
        <v>164</v>
      </c>
      <c r="E204" t="s">
        <v>205</v>
      </c>
      <c r="F204" t="s">
        <v>256</v>
      </c>
      <c r="G204">
        <v>622</v>
      </c>
      <c r="H204" t="s">
        <v>291</v>
      </c>
      <c r="I204">
        <v>490</v>
      </c>
      <c r="J204" t="s">
        <v>248</v>
      </c>
      <c r="K204">
        <v>1</v>
      </c>
      <c r="L204" s="34">
        <v>45963.070138888892</v>
      </c>
      <c r="M204" s="34">
        <v>45963.075694444444</v>
      </c>
      <c r="N204">
        <v>456</v>
      </c>
      <c r="O204">
        <v>27</v>
      </c>
      <c r="P204">
        <v>69</v>
      </c>
      <c r="Q204" s="45">
        <v>75.846409156903192</v>
      </c>
      <c r="R204" t="s">
        <v>82</v>
      </c>
      <c r="S204">
        <v>17</v>
      </c>
    </row>
    <row r="205" spans="1:19">
      <c r="A205">
        <v>2203</v>
      </c>
      <c r="B205">
        <v>3203</v>
      </c>
      <c r="C205" t="s">
        <v>214</v>
      </c>
      <c r="D205" t="s">
        <v>180</v>
      </c>
      <c r="E205" t="s">
        <v>177</v>
      </c>
      <c r="F205" t="s">
        <v>255</v>
      </c>
      <c r="G205">
        <v>210</v>
      </c>
      <c r="H205" t="s">
        <v>304</v>
      </c>
      <c r="I205">
        <v>343</v>
      </c>
      <c r="J205" t="s">
        <v>222</v>
      </c>
      <c r="K205">
        <v>1</v>
      </c>
      <c r="L205" s="34">
        <v>45973.072916666664</v>
      </c>
      <c r="M205" s="34">
        <v>45973.07916666667</v>
      </c>
      <c r="N205">
        <v>563</v>
      </c>
      <c r="O205">
        <v>15</v>
      </c>
      <c r="P205">
        <v>51</v>
      </c>
      <c r="Q205" s="45">
        <v>99.795227207432092</v>
      </c>
      <c r="R205" t="s">
        <v>82</v>
      </c>
      <c r="S205">
        <v>19</v>
      </c>
    </row>
    <row r="206" spans="1:19">
      <c r="A206">
        <v>2204</v>
      </c>
      <c r="B206">
        <v>3204</v>
      </c>
      <c r="C206" t="s">
        <v>251</v>
      </c>
      <c r="D206" t="s">
        <v>191</v>
      </c>
      <c r="E206" t="s">
        <v>275</v>
      </c>
      <c r="F206" t="s">
        <v>258</v>
      </c>
      <c r="G206">
        <v>662</v>
      </c>
      <c r="H206" t="s">
        <v>289</v>
      </c>
      <c r="I206">
        <v>536</v>
      </c>
      <c r="J206" t="s">
        <v>201</v>
      </c>
      <c r="K206">
        <v>3</v>
      </c>
      <c r="L206" s="34">
        <v>45701.496527777781</v>
      </c>
      <c r="M206" s="34">
        <v>45701.498611111114</v>
      </c>
      <c r="N206">
        <v>217</v>
      </c>
      <c r="O206">
        <v>78</v>
      </c>
      <c r="P206">
        <v>65</v>
      </c>
      <c r="Q206" s="45">
        <v>28.45771116426253</v>
      </c>
      <c r="R206" t="s">
        <v>75</v>
      </c>
      <c r="S206">
        <v>9</v>
      </c>
    </row>
    <row r="207" spans="1:19">
      <c r="A207">
        <v>2205</v>
      </c>
      <c r="B207">
        <v>3205</v>
      </c>
      <c r="C207" t="s">
        <v>217</v>
      </c>
      <c r="D207" t="s">
        <v>261</v>
      </c>
      <c r="E207" t="s">
        <v>274</v>
      </c>
      <c r="F207" t="s">
        <v>266</v>
      </c>
      <c r="G207">
        <v>889</v>
      </c>
      <c r="H207" t="s">
        <v>302</v>
      </c>
      <c r="I207">
        <v>503</v>
      </c>
      <c r="J207" t="s">
        <v>254</v>
      </c>
      <c r="K207">
        <v>1</v>
      </c>
      <c r="L207" s="34">
        <v>45809.927083333336</v>
      </c>
      <c r="M207" s="34">
        <v>45809.927777777775</v>
      </c>
      <c r="N207">
        <v>98</v>
      </c>
      <c r="O207">
        <v>52</v>
      </c>
      <c r="P207">
        <v>55</v>
      </c>
      <c r="Q207" s="45">
        <v>28.760679831392544</v>
      </c>
      <c r="R207" t="s">
        <v>75</v>
      </c>
      <c r="S207">
        <v>5</v>
      </c>
    </row>
    <row r="208" spans="1:19">
      <c r="A208">
        <v>2206</v>
      </c>
      <c r="B208">
        <v>3206</v>
      </c>
      <c r="C208" t="s">
        <v>253</v>
      </c>
      <c r="D208" t="s">
        <v>84</v>
      </c>
      <c r="E208" t="s">
        <v>187</v>
      </c>
      <c r="F208" t="s">
        <v>266</v>
      </c>
      <c r="G208">
        <v>968</v>
      </c>
      <c r="H208" t="s">
        <v>301</v>
      </c>
      <c r="I208">
        <v>441</v>
      </c>
      <c r="J208" t="s">
        <v>246</v>
      </c>
      <c r="K208">
        <v>1</v>
      </c>
      <c r="L208" s="34">
        <v>45794.182638888888</v>
      </c>
      <c r="M208" s="34">
        <v>45794.184027777781</v>
      </c>
      <c r="N208">
        <v>102</v>
      </c>
      <c r="O208">
        <v>74</v>
      </c>
      <c r="P208">
        <v>74</v>
      </c>
      <c r="Q208" s="45">
        <v>41.759711440671182</v>
      </c>
      <c r="R208" t="s">
        <v>75</v>
      </c>
      <c r="S208">
        <v>5</v>
      </c>
    </row>
    <row r="209" spans="1:19">
      <c r="A209">
        <v>2207</v>
      </c>
      <c r="B209">
        <v>3207</v>
      </c>
      <c r="C209" t="s">
        <v>199</v>
      </c>
      <c r="D209" t="s">
        <v>221</v>
      </c>
      <c r="E209" t="s">
        <v>275</v>
      </c>
      <c r="F209" t="s">
        <v>263</v>
      </c>
      <c r="G209">
        <v>878</v>
      </c>
      <c r="H209" t="s">
        <v>291</v>
      </c>
      <c r="I209">
        <v>282</v>
      </c>
      <c r="J209" t="s">
        <v>208</v>
      </c>
      <c r="K209">
        <v>2</v>
      </c>
      <c r="L209" s="34">
        <v>45918.369444444441</v>
      </c>
      <c r="M209" s="34">
        <v>45918.373611111114</v>
      </c>
      <c r="N209">
        <v>389</v>
      </c>
      <c r="O209">
        <v>1</v>
      </c>
      <c r="P209">
        <v>65</v>
      </c>
      <c r="Q209" s="45">
        <v>62.333025041768543</v>
      </c>
      <c r="R209" t="s">
        <v>82</v>
      </c>
      <c r="S209">
        <v>39</v>
      </c>
    </row>
    <row r="210" spans="1:19">
      <c r="A210">
        <v>2208</v>
      </c>
      <c r="B210">
        <v>3208</v>
      </c>
      <c r="C210" t="s">
        <v>251</v>
      </c>
      <c r="D210" t="s">
        <v>224</v>
      </c>
      <c r="E210" t="s">
        <v>275</v>
      </c>
      <c r="F210" t="s">
        <v>273</v>
      </c>
      <c r="G210">
        <v>140</v>
      </c>
      <c r="H210" t="s">
        <v>287</v>
      </c>
      <c r="I210">
        <v>642</v>
      </c>
      <c r="J210" t="s">
        <v>230</v>
      </c>
      <c r="K210">
        <v>2</v>
      </c>
      <c r="L210" s="34">
        <v>45979.556944444441</v>
      </c>
      <c r="M210" s="34">
        <v>45979.560416666667</v>
      </c>
      <c r="N210">
        <v>327</v>
      </c>
      <c r="O210">
        <v>26</v>
      </c>
      <c r="P210">
        <v>75</v>
      </c>
      <c r="Q210" s="45">
        <v>53.843638295153141</v>
      </c>
      <c r="R210" t="s">
        <v>82</v>
      </c>
      <c r="S210">
        <v>42</v>
      </c>
    </row>
    <row r="211" spans="1:19">
      <c r="A211">
        <v>2209</v>
      </c>
      <c r="B211">
        <v>3209</v>
      </c>
      <c r="C211" t="s">
        <v>253</v>
      </c>
      <c r="D211" t="s">
        <v>84</v>
      </c>
      <c r="E211" t="s">
        <v>169</v>
      </c>
      <c r="F211" t="s">
        <v>157</v>
      </c>
      <c r="G211">
        <v>567</v>
      </c>
      <c r="H211" t="s">
        <v>283</v>
      </c>
      <c r="I211">
        <v>188</v>
      </c>
      <c r="J211" t="s">
        <v>252</v>
      </c>
      <c r="K211">
        <v>2</v>
      </c>
      <c r="L211" s="34">
        <v>45737.530555555553</v>
      </c>
      <c r="M211" s="34">
        <v>45737.533333333333</v>
      </c>
      <c r="N211">
        <v>275</v>
      </c>
      <c r="O211">
        <v>82</v>
      </c>
      <c r="P211">
        <v>62</v>
      </c>
      <c r="Q211" s="45">
        <v>32.472788310211243</v>
      </c>
      <c r="R211" t="s">
        <v>75</v>
      </c>
      <c r="S211">
        <v>45</v>
      </c>
    </row>
    <row r="212" spans="1:19">
      <c r="A212">
        <v>2210</v>
      </c>
      <c r="B212">
        <v>3210</v>
      </c>
      <c r="C212" t="s">
        <v>172</v>
      </c>
      <c r="D212" t="s">
        <v>186</v>
      </c>
      <c r="E212" t="s">
        <v>209</v>
      </c>
      <c r="F212" t="s">
        <v>263</v>
      </c>
      <c r="G212">
        <v>555</v>
      </c>
      <c r="H212" t="s">
        <v>289</v>
      </c>
      <c r="I212">
        <v>260</v>
      </c>
      <c r="J212" t="s">
        <v>196</v>
      </c>
      <c r="K212">
        <v>3</v>
      </c>
      <c r="L212" s="34">
        <v>45759.363888888889</v>
      </c>
      <c r="M212" s="34">
        <v>45759.365972222222</v>
      </c>
      <c r="N212">
        <v>174</v>
      </c>
      <c r="O212">
        <v>31</v>
      </c>
      <c r="P212">
        <v>55</v>
      </c>
      <c r="Q212" s="45">
        <v>30.76576672774214</v>
      </c>
      <c r="R212" t="s">
        <v>82</v>
      </c>
      <c r="S212">
        <v>44</v>
      </c>
    </row>
    <row r="213" spans="1:19">
      <c r="A213">
        <v>2211</v>
      </c>
      <c r="B213">
        <v>3211</v>
      </c>
      <c r="C213" t="s">
        <v>223</v>
      </c>
      <c r="D213" t="s">
        <v>224</v>
      </c>
      <c r="E213" t="s">
        <v>274</v>
      </c>
      <c r="F213" t="s">
        <v>263</v>
      </c>
      <c r="G213">
        <v>769</v>
      </c>
      <c r="H213" t="s">
        <v>291</v>
      </c>
      <c r="I213">
        <v>171</v>
      </c>
      <c r="J213" t="s">
        <v>210</v>
      </c>
      <c r="K213">
        <v>2</v>
      </c>
      <c r="L213" s="34">
        <v>45836.056250000001</v>
      </c>
      <c r="M213" s="34">
        <v>45836.063194444447</v>
      </c>
      <c r="N213">
        <v>565</v>
      </c>
      <c r="O213">
        <v>92</v>
      </c>
      <c r="P213">
        <v>63</v>
      </c>
      <c r="Q213" s="45">
        <v>93.72794006579096</v>
      </c>
      <c r="R213" t="s">
        <v>75</v>
      </c>
      <c r="S213">
        <v>19</v>
      </c>
    </row>
    <row r="214" spans="1:19">
      <c r="A214">
        <v>2212</v>
      </c>
      <c r="B214">
        <v>3212</v>
      </c>
      <c r="C214" t="s">
        <v>190</v>
      </c>
      <c r="D214" t="s">
        <v>261</v>
      </c>
      <c r="E214" t="s">
        <v>160</v>
      </c>
      <c r="F214" t="s">
        <v>262</v>
      </c>
      <c r="G214">
        <v>472</v>
      </c>
      <c r="H214" t="s">
        <v>302</v>
      </c>
      <c r="I214">
        <v>256</v>
      </c>
      <c r="J214" t="s">
        <v>198</v>
      </c>
      <c r="K214">
        <v>2</v>
      </c>
      <c r="L214" s="34">
        <v>45981.186111111114</v>
      </c>
      <c r="M214" s="34">
        <v>45981.19027777778</v>
      </c>
      <c r="N214">
        <v>343</v>
      </c>
      <c r="O214">
        <v>67</v>
      </c>
      <c r="P214">
        <v>93</v>
      </c>
      <c r="Q214" s="45">
        <v>53.870004292548927</v>
      </c>
      <c r="R214" t="s">
        <v>75</v>
      </c>
      <c r="S214">
        <v>24</v>
      </c>
    </row>
    <row r="215" spans="1:19">
      <c r="A215">
        <v>2213</v>
      </c>
      <c r="B215">
        <v>3213</v>
      </c>
      <c r="C215" t="s">
        <v>227</v>
      </c>
      <c r="D215" t="s">
        <v>249</v>
      </c>
      <c r="E215" t="s">
        <v>177</v>
      </c>
      <c r="F215" t="s">
        <v>203</v>
      </c>
      <c r="G215">
        <v>127</v>
      </c>
      <c r="H215" t="s">
        <v>300</v>
      </c>
      <c r="I215">
        <v>105</v>
      </c>
      <c r="J215" t="s">
        <v>171</v>
      </c>
      <c r="K215">
        <v>2</v>
      </c>
      <c r="L215" s="34">
        <v>45921.946527777778</v>
      </c>
      <c r="M215" s="34">
        <v>45921.951388888891</v>
      </c>
      <c r="N215">
        <v>413</v>
      </c>
      <c r="O215">
        <v>69</v>
      </c>
      <c r="P215">
        <v>57</v>
      </c>
      <c r="Q215" s="45">
        <v>71.403892675846365</v>
      </c>
      <c r="R215" t="s">
        <v>75</v>
      </c>
      <c r="S215">
        <v>7</v>
      </c>
    </row>
    <row r="216" spans="1:19">
      <c r="A216">
        <v>2214</v>
      </c>
      <c r="B216">
        <v>3214</v>
      </c>
      <c r="C216" t="s">
        <v>183</v>
      </c>
      <c r="D216" t="s">
        <v>224</v>
      </c>
      <c r="E216" t="s">
        <v>187</v>
      </c>
      <c r="F216" t="s">
        <v>255</v>
      </c>
      <c r="G216">
        <v>347</v>
      </c>
      <c r="H216" t="s">
        <v>277</v>
      </c>
      <c r="I216">
        <v>392</v>
      </c>
      <c r="J216" t="s">
        <v>158</v>
      </c>
      <c r="K216">
        <v>1</v>
      </c>
      <c r="L216" s="34">
        <v>45802.566666666666</v>
      </c>
      <c r="M216" s="34">
        <v>45802.568055555559</v>
      </c>
      <c r="N216">
        <v>77</v>
      </c>
      <c r="O216">
        <v>2</v>
      </c>
      <c r="P216">
        <v>77</v>
      </c>
      <c r="Q216" s="45">
        <v>18.813115789793574</v>
      </c>
      <c r="R216" t="s">
        <v>82</v>
      </c>
      <c r="S216">
        <v>17</v>
      </c>
    </row>
    <row r="217" spans="1:19">
      <c r="A217">
        <v>2215</v>
      </c>
      <c r="B217">
        <v>3215</v>
      </c>
      <c r="C217" t="s">
        <v>223</v>
      </c>
      <c r="D217" t="s">
        <v>191</v>
      </c>
      <c r="E217" t="s">
        <v>160</v>
      </c>
      <c r="F217" t="s">
        <v>258</v>
      </c>
      <c r="G217">
        <v>877</v>
      </c>
      <c r="H217" t="s">
        <v>296</v>
      </c>
      <c r="I217">
        <v>522</v>
      </c>
      <c r="J217" t="s">
        <v>204</v>
      </c>
      <c r="K217">
        <v>1</v>
      </c>
      <c r="L217" s="34">
        <v>45764.892361111109</v>
      </c>
      <c r="M217" s="34">
        <v>45764.893055555556</v>
      </c>
      <c r="N217">
        <v>95</v>
      </c>
      <c r="O217">
        <v>55</v>
      </c>
      <c r="P217">
        <v>63</v>
      </c>
      <c r="Q217" s="45">
        <v>25.97551970997625</v>
      </c>
      <c r="R217" t="s">
        <v>75</v>
      </c>
      <c r="S217">
        <v>13</v>
      </c>
    </row>
    <row r="218" spans="1:19">
      <c r="A218">
        <v>2216</v>
      </c>
      <c r="B218">
        <v>3216</v>
      </c>
      <c r="C218" t="s">
        <v>175</v>
      </c>
      <c r="D218" t="s">
        <v>189</v>
      </c>
      <c r="E218" t="s">
        <v>274</v>
      </c>
      <c r="F218" t="s">
        <v>263</v>
      </c>
      <c r="G218">
        <v>142</v>
      </c>
      <c r="H218" t="s">
        <v>276</v>
      </c>
      <c r="I218">
        <v>330</v>
      </c>
      <c r="J218" t="s">
        <v>196</v>
      </c>
      <c r="K218">
        <v>2</v>
      </c>
      <c r="L218" s="34">
        <v>45719.881249999999</v>
      </c>
      <c r="M218" s="34">
        <v>45719.881944444445</v>
      </c>
      <c r="N218">
        <v>88</v>
      </c>
      <c r="O218">
        <v>72</v>
      </c>
      <c r="P218">
        <v>98</v>
      </c>
      <c r="Q218" s="45">
        <v>23.251623334541364</v>
      </c>
      <c r="R218" t="s">
        <v>75</v>
      </c>
      <c r="S218">
        <v>24</v>
      </c>
    </row>
    <row r="219" spans="1:19">
      <c r="A219">
        <v>2217</v>
      </c>
      <c r="B219">
        <v>3217</v>
      </c>
      <c r="C219" t="s">
        <v>159</v>
      </c>
      <c r="D219" t="s">
        <v>168</v>
      </c>
      <c r="E219" t="s">
        <v>169</v>
      </c>
      <c r="F219" t="s">
        <v>260</v>
      </c>
      <c r="G219">
        <v>530</v>
      </c>
      <c r="H219" t="s">
        <v>302</v>
      </c>
      <c r="I219">
        <v>452</v>
      </c>
      <c r="J219" t="s">
        <v>264</v>
      </c>
      <c r="K219">
        <v>1</v>
      </c>
      <c r="L219" s="34">
        <v>45769.55972222222</v>
      </c>
      <c r="M219" s="34">
        <v>45769.56527777778</v>
      </c>
      <c r="N219">
        <v>477</v>
      </c>
      <c r="O219">
        <v>34</v>
      </c>
      <c r="P219">
        <v>56</v>
      </c>
      <c r="Q219" s="45">
        <v>68.602952935913819</v>
      </c>
      <c r="R219" t="s">
        <v>75</v>
      </c>
      <c r="S219">
        <v>8</v>
      </c>
    </row>
    <row r="220" spans="1:19">
      <c r="A220">
        <v>2218</v>
      </c>
      <c r="B220">
        <v>3218</v>
      </c>
      <c r="C220" t="s">
        <v>172</v>
      </c>
      <c r="D220" t="s">
        <v>215</v>
      </c>
      <c r="E220" t="s">
        <v>187</v>
      </c>
      <c r="F220" t="s">
        <v>157</v>
      </c>
      <c r="G220">
        <v>542</v>
      </c>
      <c r="H220" t="s">
        <v>290</v>
      </c>
      <c r="I220">
        <v>294</v>
      </c>
      <c r="J220" t="s">
        <v>196</v>
      </c>
      <c r="K220">
        <v>1</v>
      </c>
      <c r="L220" s="34">
        <v>45876.156944444447</v>
      </c>
      <c r="M220" s="34">
        <v>45876.163194444445</v>
      </c>
      <c r="N220">
        <v>541</v>
      </c>
      <c r="O220">
        <v>14</v>
      </c>
      <c r="P220">
        <v>57</v>
      </c>
      <c r="Q220" s="45">
        <v>99.385952456919171</v>
      </c>
      <c r="R220" t="s">
        <v>82</v>
      </c>
      <c r="S220">
        <v>29</v>
      </c>
    </row>
    <row r="221" spans="1:19">
      <c r="A221">
        <v>2219</v>
      </c>
      <c r="B221">
        <v>3219</v>
      </c>
      <c r="C221" t="s">
        <v>183</v>
      </c>
      <c r="D221" t="s">
        <v>164</v>
      </c>
      <c r="E221" t="s">
        <v>209</v>
      </c>
      <c r="F221" t="s">
        <v>256</v>
      </c>
      <c r="G221">
        <v>628</v>
      </c>
      <c r="H221" t="s">
        <v>299</v>
      </c>
      <c r="I221">
        <v>970</v>
      </c>
      <c r="J221" t="s">
        <v>231</v>
      </c>
      <c r="K221">
        <v>3</v>
      </c>
      <c r="L221" s="34">
        <v>45784.964583333334</v>
      </c>
      <c r="M221" s="34">
        <v>45784.96597222222</v>
      </c>
      <c r="N221">
        <v>129</v>
      </c>
      <c r="O221">
        <v>45</v>
      </c>
      <c r="P221">
        <v>85</v>
      </c>
      <c r="Q221" s="45">
        <v>21.875199887729465</v>
      </c>
      <c r="R221" t="s">
        <v>82</v>
      </c>
      <c r="S221">
        <v>19</v>
      </c>
    </row>
    <row r="222" spans="1:19">
      <c r="A222">
        <v>2220</v>
      </c>
      <c r="B222">
        <v>3220</v>
      </c>
      <c r="C222" t="s">
        <v>78</v>
      </c>
      <c r="D222" t="s">
        <v>202</v>
      </c>
      <c r="E222" t="s">
        <v>205</v>
      </c>
      <c r="F222" t="s">
        <v>181</v>
      </c>
      <c r="G222">
        <v>961</v>
      </c>
      <c r="H222" t="s">
        <v>278</v>
      </c>
      <c r="I222">
        <v>697</v>
      </c>
      <c r="J222" t="s">
        <v>185</v>
      </c>
      <c r="K222">
        <v>1</v>
      </c>
      <c r="L222" s="34">
        <v>45860.986805555556</v>
      </c>
      <c r="M222" s="34">
        <v>45860.988888888889</v>
      </c>
      <c r="N222">
        <v>157</v>
      </c>
      <c r="O222">
        <v>65</v>
      </c>
      <c r="P222">
        <v>59</v>
      </c>
      <c r="Q222" s="45">
        <v>38.282075322913798</v>
      </c>
      <c r="R222" t="s">
        <v>75</v>
      </c>
      <c r="S222">
        <v>37</v>
      </c>
    </row>
    <row r="223" spans="1:19">
      <c r="A223">
        <v>2221</v>
      </c>
      <c r="B223">
        <v>3221</v>
      </c>
      <c r="C223" t="s">
        <v>175</v>
      </c>
      <c r="D223" t="s">
        <v>202</v>
      </c>
      <c r="E223" t="s">
        <v>205</v>
      </c>
      <c r="F223" t="s">
        <v>273</v>
      </c>
      <c r="G223">
        <v>761</v>
      </c>
      <c r="H223" t="s">
        <v>303</v>
      </c>
      <c r="I223">
        <v>875</v>
      </c>
      <c r="J223" t="s">
        <v>233</v>
      </c>
      <c r="K223">
        <v>2</v>
      </c>
      <c r="L223" s="34">
        <v>45683.841666666667</v>
      </c>
      <c r="M223" s="34">
        <v>45683.844444444447</v>
      </c>
      <c r="N223">
        <v>235</v>
      </c>
      <c r="O223">
        <v>41</v>
      </c>
      <c r="P223">
        <v>98</v>
      </c>
      <c r="Q223" s="45">
        <v>52.13018204651749</v>
      </c>
      <c r="R223" t="s">
        <v>82</v>
      </c>
      <c r="S223">
        <v>34</v>
      </c>
    </row>
    <row r="224" spans="1:19">
      <c r="A224">
        <v>2222</v>
      </c>
      <c r="B224">
        <v>3222</v>
      </c>
      <c r="C224" t="s">
        <v>206</v>
      </c>
      <c r="D224" t="s">
        <v>168</v>
      </c>
      <c r="E224" t="s">
        <v>275</v>
      </c>
      <c r="F224" t="s">
        <v>203</v>
      </c>
      <c r="G224">
        <v>410</v>
      </c>
      <c r="H224" t="s">
        <v>299</v>
      </c>
      <c r="I224">
        <v>179</v>
      </c>
      <c r="J224" t="s">
        <v>235</v>
      </c>
      <c r="K224">
        <v>1</v>
      </c>
      <c r="L224" s="34">
        <v>45857.762499999997</v>
      </c>
      <c r="M224" s="34">
        <v>45857.763194444444</v>
      </c>
      <c r="N224">
        <v>100</v>
      </c>
      <c r="O224">
        <v>55</v>
      </c>
      <c r="P224">
        <v>64</v>
      </c>
      <c r="Q224" s="45">
        <v>34.816341171399571</v>
      </c>
      <c r="R224" t="s">
        <v>75</v>
      </c>
      <c r="S224">
        <v>7</v>
      </c>
    </row>
    <row r="225" spans="1:19">
      <c r="A225">
        <v>2223</v>
      </c>
      <c r="B225">
        <v>3223</v>
      </c>
      <c r="C225" t="s">
        <v>214</v>
      </c>
      <c r="D225" t="s">
        <v>249</v>
      </c>
      <c r="E225" t="s">
        <v>209</v>
      </c>
      <c r="F225" t="s">
        <v>259</v>
      </c>
      <c r="G225">
        <v>812</v>
      </c>
      <c r="H225" t="s">
        <v>281</v>
      </c>
      <c r="I225">
        <v>836</v>
      </c>
      <c r="J225" t="s">
        <v>257</v>
      </c>
      <c r="K225">
        <v>1</v>
      </c>
      <c r="L225" s="34">
        <v>45976.051388888889</v>
      </c>
      <c r="M225" s="34">
        <v>45976.052083333336</v>
      </c>
      <c r="N225">
        <v>78</v>
      </c>
      <c r="O225">
        <v>97</v>
      </c>
      <c r="P225">
        <v>73</v>
      </c>
      <c r="Q225" s="45">
        <v>24.132177604657411</v>
      </c>
      <c r="R225" t="s">
        <v>75</v>
      </c>
      <c r="S225">
        <v>50</v>
      </c>
    </row>
    <row r="226" spans="1:19">
      <c r="A226">
        <v>2224</v>
      </c>
      <c r="B226">
        <v>3224</v>
      </c>
      <c r="C226" t="s">
        <v>199</v>
      </c>
      <c r="D226" t="s">
        <v>215</v>
      </c>
      <c r="E226" t="s">
        <v>160</v>
      </c>
      <c r="F226" t="s">
        <v>271</v>
      </c>
      <c r="G226">
        <v>378</v>
      </c>
      <c r="H226" t="s">
        <v>286</v>
      </c>
      <c r="I226">
        <v>527</v>
      </c>
      <c r="J226" t="s">
        <v>211</v>
      </c>
      <c r="K226">
        <v>1</v>
      </c>
      <c r="L226" s="34">
        <v>45748.986111111109</v>
      </c>
      <c r="M226" s="34">
        <v>45748.990972222222</v>
      </c>
      <c r="N226">
        <v>404</v>
      </c>
      <c r="O226">
        <v>41</v>
      </c>
      <c r="P226">
        <v>89</v>
      </c>
      <c r="Q226" s="45">
        <v>59.448473443121017</v>
      </c>
      <c r="R226" t="s">
        <v>82</v>
      </c>
      <c r="S226">
        <v>33</v>
      </c>
    </row>
    <row r="227" spans="1:19">
      <c r="A227">
        <v>2225</v>
      </c>
      <c r="B227">
        <v>3225</v>
      </c>
      <c r="C227" t="s">
        <v>227</v>
      </c>
      <c r="D227" t="s">
        <v>156</v>
      </c>
      <c r="E227" t="s">
        <v>274</v>
      </c>
      <c r="F227" t="s">
        <v>256</v>
      </c>
      <c r="G227">
        <v>706</v>
      </c>
      <c r="H227" t="s">
        <v>280</v>
      </c>
      <c r="I227">
        <v>544</v>
      </c>
      <c r="J227" t="s">
        <v>166</v>
      </c>
      <c r="K227">
        <v>2</v>
      </c>
      <c r="L227" s="34">
        <v>45932.3125</v>
      </c>
      <c r="M227" s="34">
        <v>45932.313194444447</v>
      </c>
      <c r="N227">
        <v>63</v>
      </c>
      <c r="O227">
        <v>8</v>
      </c>
      <c r="P227">
        <v>97</v>
      </c>
      <c r="Q227" s="45">
        <v>18.335768341508995</v>
      </c>
      <c r="R227" t="s">
        <v>82</v>
      </c>
      <c r="S227">
        <v>20</v>
      </c>
    </row>
    <row r="228" spans="1:19">
      <c r="A228">
        <v>2226</v>
      </c>
      <c r="B228">
        <v>3226</v>
      </c>
      <c r="C228" t="s">
        <v>183</v>
      </c>
      <c r="D228" t="s">
        <v>224</v>
      </c>
      <c r="E228" t="s">
        <v>274</v>
      </c>
      <c r="F228" t="s">
        <v>260</v>
      </c>
      <c r="G228">
        <v>568</v>
      </c>
      <c r="H228" t="s">
        <v>302</v>
      </c>
      <c r="I228">
        <v>139</v>
      </c>
      <c r="J228" t="s">
        <v>235</v>
      </c>
      <c r="K228">
        <v>1</v>
      </c>
      <c r="L228" s="34">
        <v>45934.929861111108</v>
      </c>
      <c r="M228" s="34">
        <v>45934.936111111114</v>
      </c>
      <c r="N228">
        <v>544</v>
      </c>
      <c r="O228">
        <v>27</v>
      </c>
      <c r="P228">
        <v>64</v>
      </c>
      <c r="Q228" s="45">
        <v>92.073953774083932</v>
      </c>
      <c r="R228" t="s">
        <v>82</v>
      </c>
      <c r="S228">
        <v>32</v>
      </c>
    </row>
    <row r="229" spans="1:19">
      <c r="A229">
        <v>2227</v>
      </c>
      <c r="B229">
        <v>3227</v>
      </c>
      <c r="C229" t="s">
        <v>172</v>
      </c>
      <c r="D229" t="s">
        <v>202</v>
      </c>
      <c r="E229" t="s">
        <v>177</v>
      </c>
      <c r="F229" t="s">
        <v>268</v>
      </c>
      <c r="G229">
        <v>745</v>
      </c>
      <c r="H229" t="s">
        <v>282</v>
      </c>
      <c r="I229">
        <v>662</v>
      </c>
      <c r="J229" t="s">
        <v>211</v>
      </c>
      <c r="K229">
        <v>2</v>
      </c>
      <c r="L229" s="34">
        <v>45810.37777777778</v>
      </c>
      <c r="M229" s="34">
        <v>45810.381249999999</v>
      </c>
      <c r="N229">
        <v>330</v>
      </c>
      <c r="O229">
        <v>52</v>
      </c>
      <c r="P229">
        <v>66</v>
      </c>
      <c r="Q229" s="45">
        <v>63.357466818020846</v>
      </c>
      <c r="R229" t="s">
        <v>75</v>
      </c>
      <c r="S229">
        <v>6</v>
      </c>
    </row>
    <row r="230" spans="1:19">
      <c r="A230">
        <v>2228</v>
      </c>
      <c r="B230">
        <v>3228</v>
      </c>
      <c r="C230" t="s">
        <v>253</v>
      </c>
      <c r="D230" t="s">
        <v>70</v>
      </c>
      <c r="E230" t="s">
        <v>275</v>
      </c>
      <c r="F230" t="s">
        <v>181</v>
      </c>
      <c r="G230">
        <v>122</v>
      </c>
      <c r="H230" t="s">
        <v>278</v>
      </c>
      <c r="I230">
        <v>812</v>
      </c>
      <c r="J230" t="s">
        <v>231</v>
      </c>
      <c r="K230">
        <v>3</v>
      </c>
      <c r="L230" s="34">
        <v>45940.961805555555</v>
      </c>
      <c r="M230" s="34">
        <v>45940.966666666667</v>
      </c>
      <c r="N230">
        <v>445</v>
      </c>
      <c r="O230">
        <v>84</v>
      </c>
      <c r="P230">
        <v>67</v>
      </c>
      <c r="Q230" s="45">
        <v>67.843598862434789</v>
      </c>
      <c r="R230" t="s">
        <v>75</v>
      </c>
      <c r="S230">
        <v>20</v>
      </c>
    </row>
    <row r="231" spans="1:19">
      <c r="A231">
        <v>2229</v>
      </c>
      <c r="B231">
        <v>3229</v>
      </c>
      <c r="C231" t="s">
        <v>217</v>
      </c>
      <c r="D231" t="s">
        <v>224</v>
      </c>
      <c r="E231" t="s">
        <v>274</v>
      </c>
      <c r="F231" t="s">
        <v>258</v>
      </c>
      <c r="G231">
        <v>796</v>
      </c>
      <c r="H231" t="s">
        <v>294</v>
      </c>
      <c r="I231">
        <v>902</v>
      </c>
      <c r="J231" t="s">
        <v>185</v>
      </c>
      <c r="K231">
        <v>3</v>
      </c>
      <c r="L231" s="34">
        <v>45934.64166666667</v>
      </c>
      <c r="M231" s="34">
        <v>45934.644444444442</v>
      </c>
      <c r="N231">
        <v>245</v>
      </c>
      <c r="O231">
        <v>11</v>
      </c>
      <c r="P231">
        <v>93</v>
      </c>
      <c r="Q231" s="45">
        <v>54.14976109788843</v>
      </c>
      <c r="R231" t="s">
        <v>82</v>
      </c>
      <c r="S231">
        <v>12</v>
      </c>
    </row>
    <row r="232" spans="1:19">
      <c r="A232">
        <v>2230</v>
      </c>
      <c r="B232">
        <v>3230</v>
      </c>
      <c r="C232" t="s">
        <v>194</v>
      </c>
      <c r="D232" t="s">
        <v>191</v>
      </c>
      <c r="E232" t="s">
        <v>169</v>
      </c>
      <c r="F232" t="s">
        <v>203</v>
      </c>
      <c r="G232">
        <v>385</v>
      </c>
      <c r="H232" t="s">
        <v>292</v>
      </c>
      <c r="I232">
        <v>328</v>
      </c>
      <c r="J232" t="s">
        <v>158</v>
      </c>
      <c r="K232">
        <v>2</v>
      </c>
      <c r="L232" s="34">
        <v>45828.905555555553</v>
      </c>
      <c r="M232" s="34">
        <v>45828.90625</v>
      </c>
      <c r="N232">
        <v>85</v>
      </c>
      <c r="O232">
        <v>53</v>
      </c>
      <c r="P232">
        <v>94</v>
      </c>
      <c r="Q232" s="45">
        <v>18.49131601185751</v>
      </c>
      <c r="R232" t="s">
        <v>82</v>
      </c>
      <c r="S232">
        <v>30</v>
      </c>
    </row>
    <row r="233" spans="1:19">
      <c r="A233">
        <v>2231</v>
      </c>
      <c r="B233">
        <v>3231</v>
      </c>
      <c r="C233" t="s">
        <v>194</v>
      </c>
      <c r="D233" t="s">
        <v>186</v>
      </c>
      <c r="E233" t="s">
        <v>205</v>
      </c>
      <c r="F233" t="s">
        <v>259</v>
      </c>
      <c r="G233">
        <v>116</v>
      </c>
      <c r="H233" t="s">
        <v>298</v>
      </c>
      <c r="I233">
        <v>965</v>
      </c>
      <c r="J233" t="s">
        <v>220</v>
      </c>
      <c r="K233">
        <v>2</v>
      </c>
      <c r="L233" s="34">
        <v>45719.201388888891</v>
      </c>
      <c r="M233" s="34">
        <v>45719.204861111109</v>
      </c>
      <c r="N233">
        <v>275</v>
      </c>
      <c r="O233">
        <v>61</v>
      </c>
      <c r="P233">
        <v>69</v>
      </c>
      <c r="Q233" s="45">
        <v>40.143906621142008</v>
      </c>
      <c r="R233" t="s">
        <v>75</v>
      </c>
      <c r="S233">
        <v>39</v>
      </c>
    </row>
    <row r="234" spans="1:19">
      <c r="A234">
        <v>2232</v>
      </c>
      <c r="B234">
        <v>3232</v>
      </c>
      <c r="C234" t="s">
        <v>155</v>
      </c>
      <c r="D234" t="s">
        <v>176</v>
      </c>
      <c r="E234" t="s">
        <v>160</v>
      </c>
      <c r="F234" t="s">
        <v>270</v>
      </c>
      <c r="G234">
        <v>320</v>
      </c>
      <c r="H234" t="s">
        <v>277</v>
      </c>
      <c r="I234">
        <v>642</v>
      </c>
      <c r="J234" t="s">
        <v>210</v>
      </c>
      <c r="K234">
        <v>2</v>
      </c>
      <c r="L234" s="34">
        <v>45683.484722222223</v>
      </c>
      <c r="M234" s="34">
        <v>45683.487500000003</v>
      </c>
      <c r="N234">
        <v>215</v>
      </c>
      <c r="O234">
        <v>24</v>
      </c>
      <c r="P234">
        <v>52</v>
      </c>
      <c r="Q234" s="45">
        <v>41.575000614601578</v>
      </c>
      <c r="R234" t="s">
        <v>82</v>
      </c>
      <c r="S234">
        <v>18</v>
      </c>
    </row>
    <row r="235" spans="1:19">
      <c r="A235">
        <v>2233</v>
      </c>
      <c r="B235">
        <v>3233</v>
      </c>
      <c r="C235" t="s">
        <v>245</v>
      </c>
      <c r="D235" t="s">
        <v>168</v>
      </c>
      <c r="E235" t="s">
        <v>169</v>
      </c>
      <c r="F235" t="s">
        <v>255</v>
      </c>
      <c r="G235">
        <v>937</v>
      </c>
      <c r="H235" t="s">
        <v>281</v>
      </c>
      <c r="I235">
        <v>941</v>
      </c>
      <c r="J235" t="s">
        <v>198</v>
      </c>
      <c r="K235">
        <v>3</v>
      </c>
      <c r="L235" s="34">
        <v>45823.712500000001</v>
      </c>
      <c r="M235" s="34">
        <v>45823.717361111114</v>
      </c>
      <c r="N235">
        <v>383</v>
      </c>
      <c r="O235">
        <v>35</v>
      </c>
      <c r="P235">
        <v>63</v>
      </c>
      <c r="Q235" s="45">
        <v>68.817440953499741</v>
      </c>
      <c r="R235" t="s">
        <v>82</v>
      </c>
      <c r="S235">
        <v>24</v>
      </c>
    </row>
    <row r="236" spans="1:19">
      <c r="A236">
        <v>2234</v>
      </c>
      <c r="B236">
        <v>3234</v>
      </c>
      <c r="C236" t="s">
        <v>155</v>
      </c>
      <c r="D236" t="s">
        <v>191</v>
      </c>
      <c r="E236" t="s">
        <v>275</v>
      </c>
      <c r="F236" t="s">
        <v>255</v>
      </c>
      <c r="G236">
        <v>710</v>
      </c>
      <c r="H236" t="s">
        <v>277</v>
      </c>
      <c r="I236">
        <v>430</v>
      </c>
      <c r="J236" t="s">
        <v>201</v>
      </c>
      <c r="K236">
        <v>1</v>
      </c>
      <c r="L236" s="34">
        <v>45780.481944444444</v>
      </c>
      <c r="M236" s="34">
        <v>45780.48333333333</v>
      </c>
      <c r="N236">
        <v>98</v>
      </c>
      <c r="O236">
        <v>61</v>
      </c>
      <c r="P236">
        <v>95</v>
      </c>
      <c r="Q236" s="45">
        <v>33.170954211709955</v>
      </c>
      <c r="R236" t="s">
        <v>75</v>
      </c>
      <c r="S236">
        <v>24</v>
      </c>
    </row>
    <row r="237" spans="1:19">
      <c r="A237">
        <v>2235</v>
      </c>
      <c r="B237">
        <v>3235</v>
      </c>
      <c r="C237" t="s">
        <v>253</v>
      </c>
      <c r="D237" t="s">
        <v>224</v>
      </c>
      <c r="E237" t="s">
        <v>275</v>
      </c>
      <c r="F237" t="s">
        <v>258</v>
      </c>
      <c r="G237">
        <v>338</v>
      </c>
      <c r="H237" t="s">
        <v>289</v>
      </c>
      <c r="I237">
        <v>601</v>
      </c>
      <c r="J237" t="s">
        <v>252</v>
      </c>
      <c r="K237">
        <v>1</v>
      </c>
      <c r="L237" s="34">
        <v>45793.361111111109</v>
      </c>
      <c r="M237" s="34">
        <v>45793.363888888889</v>
      </c>
      <c r="N237">
        <v>281</v>
      </c>
      <c r="O237">
        <v>41</v>
      </c>
      <c r="P237">
        <v>75</v>
      </c>
      <c r="Q237" s="45">
        <v>59.207264592539218</v>
      </c>
      <c r="R237" t="s">
        <v>82</v>
      </c>
      <c r="S237">
        <v>15</v>
      </c>
    </row>
    <row r="238" spans="1:19">
      <c r="A238">
        <v>2236</v>
      </c>
      <c r="B238">
        <v>3236</v>
      </c>
      <c r="C238" t="s">
        <v>159</v>
      </c>
      <c r="D238" t="s">
        <v>84</v>
      </c>
      <c r="E238" t="s">
        <v>275</v>
      </c>
      <c r="F238" t="s">
        <v>260</v>
      </c>
      <c r="G238">
        <v>734</v>
      </c>
      <c r="H238" t="s">
        <v>285</v>
      </c>
      <c r="I238">
        <v>890</v>
      </c>
      <c r="J238" t="s">
        <v>236</v>
      </c>
      <c r="K238">
        <v>2</v>
      </c>
      <c r="L238" s="34">
        <v>45832.220833333333</v>
      </c>
      <c r="M238" s="34">
        <v>45832.227777777778</v>
      </c>
      <c r="N238">
        <v>582</v>
      </c>
      <c r="O238">
        <v>62</v>
      </c>
      <c r="P238">
        <v>95</v>
      </c>
      <c r="Q238" s="45">
        <v>92.725113596762057</v>
      </c>
      <c r="R238" t="s">
        <v>75</v>
      </c>
      <c r="S238">
        <v>48</v>
      </c>
    </row>
    <row r="239" spans="1:19">
      <c r="A239">
        <v>2237</v>
      </c>
      <c r="B239">
        <v>3237</v>
      </c>
      <c r="C239" t="s">
        <v>206</v>
      </c>
      <c r="D239" t="s">
        <v>180</v>
      </c>
      <c r="E239" t="s">
        <v>197</v>
      </c>
      <c r="F239" t="s">
        <v>271</v>
      </c>
      <c r="G239">
        <v>220</v>
      </c>
      <c r="H239" t="s">
        <v>297</v>
      </c>
      <c r="I239">
        <v>345</v>
      </c>
      <c r="J239" t="s">
        <v>193</v>
      </c>
      <c r="K239">
        <v>3</v>
      </c>
      <c r="L239" s="34">
        <v>45861.109722222223</v>
      </c>
      <c r="M239" s="34">
        <v>45861.111805555556</v>
      </c>
      <c r="N239">
        <v>176</v>
      </c>
      <c r="O239">
        <v>40</v>
      </c>
      <c r="P239">
        <v>95</v>
      </c>
      <c r="Q239" s="45">
        <v>22.087933913164136</v>
      </c>
      <c r="R239" t="s">
        <v>82</v>
      </c>
      <c r="S239">
        <v>27</v>
      </c>
    </row>
    <row r="240" spans="1:19">
      <c r="A240">
        <v>2238</v>
      </c>
      <c r="B240">
        <v>3238</v>
      </c>
      <c r="C240" t="s">
        <v>78</v>
      </c>
      <c r="D240" t="s">
        <v>168</v>
      </c>
      <c r="E240" t="s">
        <v>177</v>
      </c>
      <c r="F240" t="s">
        <v>181</v>
      </c>
      <c r="G240">
        <v>203</v>
      </c>
      <c r="H240" t="s">
        <v>277</v>
      </c>
      <c r="I240">
        <v>776</v>
      </c>
      <c r="J240" t="s">
        <v>158</v>
      </c>
      <c r="K240">
        <v>2</v>
      </c>
      <c r="L240" s="34">
        <v>45664.71597222222</v>
      </c>
      <c r="M240" s="34">
        <v>45664.717361111114</v>
      </c>
      <c r="N240">
        <v>64</v>
      </c>
      <c r="O240">
        <v>71</v>
      </c>
      <c r="P240">
        <v>96</v>
      </c>
      <c r="Q240" s="45">
        <v>24.235058106752376</v>
      </c>
      <c r="R240" t="s">
        <v>75</v>
      </c>
      <c r="S240">
        <v>18</v>
      </c>
    </row>
    <row r="241" spans="1:19">
      <c r="A241">
        <v>2239</v>
      </c>
      <c r="B241">
        <v>3239</v>
      </c>
      <c r="C241" t="s">
        <v>183</v>
      </c>
      <c r="D241" t="s">
        <v>156</v>
      </c>
      <c r="E241" t="s">
        <v>187</v>
      </c>
      <c r="F241" t="s">
        <v>260</v>
      </c>
      <c r="G241">
        <v>614</v>
      </c>
      <c r="H241" t="s">
        <v>284</v>
      </c>
      <c r="I241">
        <v>663</v>
      </c>
      <c r="J241" t="s">
        <v>250</v>
      </c>
      <c r="K241">
        <v>1</v>
      </c>
      <c r="L241" s="34">
        <v>45892.696527777778</v>
      </c>
      <c r="M241" s="34">
        <v>45892.702777777777</v>
      </c>
      <c r="N241">
        <v>544</v>
      </c>
      <c r="O241">
        <v>3</v>
      </c>
      <c r="P241">
        <v>56</v>
      </c>
      <c r="Q241" s="45">
        <v>96.386656159953048</v>
      </c>
      <c r="R241" t="s">
        <v>82</v>
      </c>
      <c r="S241">
        <v>18</v>
      </c>
    </row>
    <row r="242" spans="1:19">
      <c r="A242">
        <v>2240</v>
      </c>
      <c r="B242">
        <v>3240</v>
      </c>
      <c r="C242" t="s">
        <v>251</v>
      </c>
      <c r="D242" t="s">
        <v>195</v>
      </c>
      <c r="E242" t="s">
        <v>187</v>
      </c>
      <c r="F242" t="s">
        <v>259</v>
      </c>
      <c r="G242">
        <v>889</v>
      </c>
      <c r="H242" t="s">
        <v>284</v>
      </c>
      <c r="I242">
        <v>791</v>
      </c>
      <c r="J242" t="s">
        <v>208</v>
      </c>
      <c r="K242">
        <v>2</v>
      </c>
      <c r="L242" s="34">
        <v>45955.970138888886</v>
      </c>
      <c r="M242" s="34">
        <v>45955.976388888892</v>
      </c>
      <c r="N242">
        <v>554</v>
      </c>
      <c r="O242">
        <v>43</v>
      </c>
      <c r="P242">
        <v>73</v>
      </c>
      <c r="Q242" s="45">
        <v>100</v>
      </c>
      <c r="R242" t="s">
        <v>82</v>
      </c>
      <c r="S242">
        <v>6</v>
      </c>
    </row>
    <row r="243" spans="1:19">
      <c r="A243">
        <v>2241</v>
      </c>
      <c r="B243">
        <v>3241</v>
      </c>
      <c r="C243" t="s">
        <v>217</v>
      </c>
      <c r="D243" t="s">
        <v>156</v>
      </c>
      <c r="E243" t="s">
        <v>177</v>
      </c>
      <c r="F243" t="s">
        <v>273</v>
      </c>
      <c r="G243">
        <v>843</v>
      </c>
      <c r="H243" t="s">
        <v>286</v>
      </c>
      <c r="I243">
        <v>762</v>
      </c>
      <c r="J243" t="s">
        <v>254</v>
      </c>
      <c r="K243">
        <v>3</v>
      </c>
      <c r="L243" s="34">
        <v>45915.472222222219</v>
      </c>
      <c r="M243" s="34">
        <v>45915.475694444445</v>
      </c>
      <c r="N243">
        <v>303</v>
      </c>
      <c r="O243">
        <v>13</v>
      </c>
      <c r="P243">
        <v>66</v>
      </c>
      <c r="Q243" s="45">
        <v>71.155128668093809</v>
      </c>
      <c r="R243" t="s">
        <v>82</v>
      </c>
      <c r="S243">
        <v>35</v>
      </c>
    </row>
    <row r="244" spans="1:19">
      <c r="A244">
        <v>2242</v>
      </c>
      <c r="B244">
        <v>3242</v>
      </c>
      <c r="C244" t="s">
        <v>190</v>
      </c>
      <c r="D244" t="s">
        <v>221</v>
      </c>
      <c r="E244" t="s">
        <v>160</v>
      </c>
      <c r="F244" t="s">
        <v>271</v>
      </c>
      <c r="G244">
        <v>674</v>
      </c>
      <c r="H244" t="s">
        <v>288</v>
      </c>
      <c r="I244">
        <v>950</v>
      </c>
      <c r="J244" t="s">
        <v>252</v>
      </c>
      <c r="K244">
        <v>1</v>
      </c>
      <c r="L244" s="34">
        <v>45800.245138888888</v>
      </c>
      <c r="M244" s="34">
        <v>45800.250694444447</v>
      </c>
      <c r="N244">
        <v>482</v>
      </c>
      <c r="O244">
        <v>3</v>
      </c>
      <c r="P244">
        <v>79</v>
      </c>
      <c r="Q244" s="45">
        <v>82.567420075367139</v>
      </c>
      <c r="R244" t="s">
        <v>82</v>
      </c>
      <c r="S244">
        <v>22</v>
      </c>
    </row>
    <row r="245" spans="1:19">
      <c r="A245">
        <v>2243</v>
      </c>
      <c r="B245">
        <v>3243</v>
      </c>
      <c r="C245" t="s">
        <v>214</v>
      </c>
      <c r="D245" t="s">
        <v>221</v>
      </c>
      <c r="E245" t="s">
        <v>274</v>
      </c>
      <c r="F245" t="s">
        <v>265</v>
      </c>
      <c r="G245">
        <v>784</v>
      </c>
      <c r="H245" t="s">
        <v>301</v>
      </c>
      <c r="I245">
        <v>431</v>
      </c>
      <c r="J245" t="s">
        <v>233</v>
      </c>
      <c r="K245">
        <v>3</v>
      </c>
      <c r="L245" s="34">
        <v>45725.32708333333</v>
      </c>
      <c r="M245" s="34">
        <v>45725.330555555556</v>
      </c>
      <c r="N245">
        <v>306</v>
      </c>
      <c r="O245">
        <v>7</v>
      </c>
      <c r="P245">
        <v>57</v>
      </c>
      <c r="Q245" s="45">
        <v>51.286154430714014</v>
      </c>
      <c r="R245" t="s">
        <v>82</v>
      </c>
      <c r="S245">
        <v>44</v>
      </c>
    </row>
    <row r="246" spans="1:19">
      <c r="A246">
        <v>2244</v>
      </c>
      <c r="B246">
        <v>3244</v>
      </c>
      <c r="C246" t="s">
        <v>223</v>
      </c>
      <c r="D246" t="s">
        <v>191</v>
      </c>
      <c r="E246" t="s">
        <v>169</v>
      </c>
      <c r="F246" t="s">
        <v>181</v>
      </c>
      <c r="G246">
        <v>248</v>
      </c>
      <c r="H246" t="s">
        <v>302</v>
      </c>
      <c r="I246">
        <v>364</v>
      </c>
      <c r="J246" t="s">
        <v>208</v>
      </c>
      <c r="K246">
        <v>2</v>
      </c>
      <c r="L246" s="34">
        <v>45859.185416666667</v>
      </c>
      <c r="M246" s="34">
        <v>45859.186805555553</v>
      </c>
      <c r="N246">
        <v>125</v>
      </c>
      <c r="O246">
        <v>27</v>
      </c>
      <c r="P246">
        <v>82</v>
      </c>
      <c r="Q246" s="45">
        <v>39.398937507691841</v>
      </c>
      <c r="R246" t="s">
        <v>82</v>
      </c>
      <c r="S246">
        <v>28</v>
      </c>
    </row>
    <row r="247" spans="1:19">
      <c r="A247">
        <v>2245</v>
      </c>
      <c r="B247">
        <v>3245</v>
      </c>
      <c r="C247" t="s">
        <v>159</v>
      </c>
      <c r="D247" t="s">
        <v>207</v>
      </c>
      <c r="E247" t="s">
        <v>169</v>
      </c>
      <c r="F247" t="s">
        <v>263</v>
      </c>
      <c r="G247">
        <v>823</v>
      </c>
      <c r="H247" t="s">
        <v>294</v>
      </c>
      <c r="I247">
        <v>266</v>
      </c>
      <c r="J247" t="s">
        <v>158</v>
      </c>
      <c r="K247">
        <v>1</v>
      </c>
      <c r="L247" s="34">
        <v>45799.200694444444</v>
      </c>
      <c r="M247" s="34">
        <v>45799.20208333333</v>
      </c>
      <c r="N247">
        <v>82</v>
      </c>
      <c r="O247">
        <v>57</v>
      </c>
      <c r="P247">
        <v>58</v>
      </c>
      <c r="Q247" s="45">
        <v>23.33212683666277</v>
      </c>
      <c r="R247" t="s">
        <v>75</v>
      </c>
      <c r="S247">
        <v>8</v>
      </c>
    </row>
    <row r="248" spans="1:19">
      <c r="A248">
        <v>2246</v>
      </c>
      <c r="B248">
        <v>3246</v>
      </c>
      <c r="C248" t="s">
        <v>167</v>
      </c>
      <c r="D248" t="s">
        <v>261</v>
      </c>
      <c r="E248" t="s">
        <v>169</v>
      </c>
      <c r="F248" t="s">
        <v>181</v>
      </c>
      <c r="G248">
        <v>726</v>
      </c>
      <c r="H248" t="s">
        <v>276</v>
      </c>
      <c r="I248">
        <v>116</v>
      </c>
      <c r="J248" t="s">
        <v>158</v>
      </c>
      <c r="K248">
        <v>1</v>
      </c>
      <c r="L248" s="34">
        <v>45978.117361111108</v>
      </c>
      <c r="M248" s="34">
        <v>45978.119444444441</v>
      </c>
      <c r="N248">
        <v>189</v>
      </c>
      <c r="O248">
        <v>4</v>
      </c>
      <c r="P248">
        <v>65</v>
      </c>
      <c r="Q248" s="45">
        <v>25.810598234018769</v>
      </c>
      <c r="R248" t="s">
        <v>82</v>
      </c>
      <c r="S248">
        <v>41</v>
      </c>
    </row>
    <row r="249" spans="1:19">
      <c r="A249">
        <v>2247</v>
      </c>
      <c r="B249">
        <v>3247</v>
      </c>
      <c r="C249" t="s">
        <v>214</v>
      </c>
      <c r="D249" t="s">
        <v>189</v>
      </c>
      <c r="E249" t="s">
        <v>274</v>
      </c>
      <c r="F249" t="s">
        <v>271</v>
      </c>
      <c r="G249">
        <v>514</v>
      </c>
      <c r="H249" t="s">
        <v>282</v>
      </c>
      <c r="I249">
        <v>334</v>
      </c>
      <c r="J249" t="s">
        <v>240</v>
      </c>
      <c r="K249">
        <v>2</v>
      </c>
      <c r="L249" s="34">
        <v>45884.244444444441</v>
      </c>
      <c r="M249" s="34">
        <v>45884.245833333334</v>
      </c>
      <c r="N249">
        <v>108</v>
      </c>
      <c r="O249">
        <v>39</v>
      </c>
      <c r="P249">
        <v>66</v>
      </c>
      <c r="Q249" s="45">
        <v>10</v>
      </c>
      <c r="R249" t="s">
        <v>82</v>
      </c>
      <c r="S249">
        <v>14</v>
      </c>
    </row>
    <row r="250" spans="1:19">
      <c r="A250">
        <v>2248</v>
      </c>
      <c r="B250">
        <v>3248</v>
      </c>
      <c r="C250" t="s">
        <v>155</v>
      </c>
      <c r="D250" t="s">
        <v>241</v>
      </c>
      <c r="E250" t="s">
        <v>187</v>
      </c>
      <c r="F250" t="s">
        <v>259</v>
      </c>
      <c r="G250">
        <v>580</v>
      </c>
      <c r="H250" t="s">
        <v>276</v>
      </c>
      <c r="I250">
        <v>576</v>
      </c>
      <c r="J250" t="s">
        <v>201</v>
      </c>
      <c r="K250">
        <v>2</v>
      </c>
      <c r="L250" s="34">
        <v>45681.126388888886</v>
      </c>
      <c r="M250" s="34">
        <v>45681.12777777778</v>
      </c>
      <c r="N250">
        <v>81</v>
      </c>
      <c r="O250">
        <v>29</v>
      </c>
      <c r="P250">
        <v>85</v>
      </c>
      <c r="Q250" s="45">
        <v>15.628489731558044</v>
      </c>
      <c r="R250" t="s">
        <v>82</v>
      </c>
      <c r="S250">
        <v>42</v>
      </c>
    </row>
    <row r="251" spans="1:19">
      <c r="A251">
        <v>2249</v>
      </c>
      <c r="B251">
        <v>3249</v>
      </c>
      <c r="C251" t="s">
        <v>245</v>
      </c>
      <c r="D251" t="s">
        <v>202</v>
      </c>
      <c r="E251" t="s">
        <v>209</v>
      </c>
      <c r="F251" t="s">
        <v>157</v>
      </c>
      <c r="G251">
        <v>902</v>
      </c>
      <c r="H251" t="s">
        <v>300</v>
      </c>
      <c r="I251">
        <v>689</v>
      </c>
      <c r="J251" t="s">
        <v>174</v>
      </c>
      <c r="K251">
        <v>2</v>
      </c>
      <c r="L251" s="34">
        <v>45830.279166666667</v>
      </c>
      <c r="M251" s="34">
        <v>45830.286111111112</v>
      </c>
      <c r="N251">
        <v>582</v>
      </c>
      <c r="O251">
        <v>89</v>
      </c>
      <c r="P251">
        <v>88</v>
      </c>
      <c r="Q251" s="45">
        <v>88.774098411676036</v>
      </c>
      <c r="R251" t="s">
        <v>75</v>
      </c>
      <c r="S251">
        <v>43</v>
      </c>
    </row>
    <row r="252" spans="1:19">
      <c r="A252">
        <v>2250</v>
      </c>
      <c r="B252">
        <v>3250</v>
      </c>
      <c r="C252" t="s">
        <v>183</v>
      </c>
      <c r="D252" t="s">
        <v>186</v>
      </c>
      <c r="E252" t="s">
        <v>274</v>
      </c>
      <c r="F252" t="s">
        <v>263</v>
      </c>
      <c r="G252">
        <v>213</v>
      </c>
      <c r="H252" t="s">
        <v>288</v>
      </c>
      <c r="I252">
        <v>815</v>
      </c>
      <c r="J252" t="s">
        <v>264</v>
      </c>
      <c r="K252">
        <v>3</v>
      </c>
      <c r="L252" s="34">
        <v>45715.392361111109</v>
      </c>
      <c r="M252" s="34">
        <v>45715.395833333336</v>
      </c>
      <c r="N252">
        <v>282</v>
      </c>
      <c r="O252">
        <v>2</v>
      </c>
      <c r="P252">
        <v>93</v>
      </c>
      <c r="Q252" s="45">
        <v>60.071143746767049</v>
      </c>
      <c r="R252" t="s">
        <v>82</v>
      </c>
      <c r="S252">
        <v>18</v>
      </c>
    </row>
    <row r="253" spans="1:19">
      <c r="A253">
        <v>2251</v>
      </c>
      <c r="B253">
        <v>3251</v>
      </c>
      <c r="C253" t="s">
        <v>172</v>
      </c>
      <c r="D253" t="s">
        <v>202</v>
      </c>
      <c r="E253" t="s">
        <v>187</v>
      </c>
      <c r="F253" t="s">
        <v>203</v>
      </c>
      <c r="G253">
        <v>189</v>
      </c>
      <c r="H253" t="s">
        <v>287</v>
      </c>
      <c r="I253">
        <v>704</v>
      </c>
      <c r="J253" t="s">
        <v>254</v>
      </c>
      <c r="K253">
        <v>1</v>
      </c>
      <c r="L253" s="34">
        <v>45893.720833333333</v>
      </c>
      <c r="M253" s="34">
        <v>45893.726388888892</v>
      </c>
      <c r="N253">
        <v>440</v>
      </c>
      <c r="O253">
        <v>9</v>
      </c>
      <c r="P253">
        <v>79</v>
      </c>
      <c r="Q253" s="45">
        <v>81.797283265398704</v>
      </c>
      <c r="R253" t="s">
        <v>82</v>
      </c>
      <c r="S253">
        <v>10</v>
      </c>
    </row>
    <row r="254" spans="1:19">
      <c r="A254">
        <v>2252</v>
      </c>
      <c r="B254">
        <v>3252</v>
      </c>
      <c r="C254" t="s">
        <v>245</v>
      </c>
      <c r="D254" t="s">
        <v>234</v>
      </c>
      <c r="E254" t="s">
        <v>205</v>
      </c>
      <c r="F254" t="s">
        <v>181</v>
      </c>
      <c r="G254">
        <v>554</v>
      </c>
      <c r="H254" t="s">
        <v>304</v>
      </c>
      <c r="I254">
        <v>419</v>
      </c>
      <c r="J254" t="s">
        <v>264</v>
      </c>
      <c r="K254">
        <v>1</v>
      </c>
      <c r="L254" s="34">
        <v>45708.114583333336</v>
      </c>
      <c r="M254" s="34">
        <v>45708.118055555555</v>
      </c>
      <c r="N254">
        <v>326</v>
      </c>
      <c r="O254">
        <v>2</v>
      </c>
      <c r="P254">
        <v>70</v>
      </c>
      <c r="Q254" s="45">
        <v>59.004992990896824</v>
      </c>
      <c r="R254" t="s">
        <v>82</v>
      </c>
      <c r="S254">
        <v>49</v>
      </c>
    </row>
    <row r="255" spans="1:19">
      <c r="A255">
        <v>2253</v>
      </c>
      <c r="B255">
        <v>3253</v>
      </c>
      <c r="C255" t="s">
        <v>214</v>
      </c>
      <c r="D255" t="s">
        <v>168</v>
      </c>
      <c r="E255" t="s">
        <v>169</v>
      </c>
      <c r="F255" t="s">
        <v>267</v>
      </c>
      <c r="G255">
        <v>191</v>
      </c>
      <c r="H255" t="s">
        <v>294</v>
      </c>
      <c r="I255">
        <v>295</v>
      </c>
      <c r="J255" t="s">
        <v>232</v>
      </c>
      <c r="K255">
        <v>1</v>
      </c>
      <c r="L255" s="34">
        <v>45958.976388888892</v>
      </c>
      <c r="M255" s="34">
        <v>45958.979166666664</v>
      </c>
      <c r="N255">
        <v>202</v>
      </c>
      <c r="O255">
        <v>34</v>
      </c>
      <c r="P255">
        <v>77</v>
      </c>
      <c r="Q255" s="45">
        <v>34.409183819426445</v>
      </c>
      <c r="R255" t="s">
        <v>82</v>
      </c>
      <c r="S255">
        <v>10</v>
      </c>
    </row>
    <row r="256" spans="1:19">
      <c r="A256">
        <v>2254</v>
      </c>
      <c r="B256">
        <v>3254</v>
      </c>
      <c r="C256" t="s">
        <v>172</v>
      </c>
      <c r="D256" t="s">
        <v>241</v>
      </c>
      <c r="E256" t="s">
        <v>187</v>
      </c>
      <c r="F256" t="s">
        <v>258</v>
      </c>
      <c r="G256">
        <v>873</v>
      </c>
      <c r="H256" t="s">
        <v>282</v>
      </c>
      <c r="I256">
        <v>583</v>
      </c>
      <c r="J256" t="s">
        <v>166</v>
      </c>
      <c r="K256">
        <v>1</v>
      </c>
      <c r="L256" s="34">
        <v>45899.586111111108</v>
      </c>
      <c r="M256" s="34">
        <v>45899.588888888888</v>
      </c>
      <c r="N256">
        <v>219</v>
      </c>
      <c r="O256">
        <v>36</v>
      </c>
      <c r="P256">
        <v>65</v>
      </c>
      <c r="Q256" s="45">
        <v>34.250498991657615</v>
      </c>
      <c r="R256" t="s">
        <v>82</v>
      </c>
      <c r="S256">
        <v>42</v>
      </c>
    </row>
    <row r="257" spans="1:19">
      <c r="A257">
        <v>2255</v>
      </c>
      <c r="B257">
        <v>3255</v>
      </c>
      <c r="C257" t="s">
        <v>217</v>
      </c>
      <c r="D257" t="s">
        <v>215</v>
      </c>
      <c r="E257" t="s">
        <v>177</v>
      </c>
      <c r="F257" t="s">
        <v>267</v>
      </c>
      <c r="G257">
        <v>905</v>
      </c>
      <c r="H257" t="s">
        <v>296</v>
      </c>
      <c r="I257">
        <v>189</v>
      </c>
      <c r="J257" t="s">
        <v>257</v>
      </c>
      <c r="K257">
        <v>3</v>
      </c>
      <c r="L257" s="34">
        <v>45751.142361111109</v>
      </c>
      <c r="M257" s="34">
        <v>45751.146527777775</v>
      </c>
      <c r="N257">
        <v>356</v>
      </c>
      <c r="O257">
        <v>84</v>
      </c>
      <c r="P257">
        <v>96</v>
      </c>
      <c r="Q257" s="45">
        <v>47.071432194258342</v>
      </c>
      <c r="R257" t="s">
        <v>75</v>
      </c>
      <c r="S257">
        <v>9</v>
      </c>
    </row>
    <row r="258" spans="1:19">
      <c r="A258">
        <v>2256</v>
      </c>
      <c r="B258">
        <v>3256</v>
      </c>
      <c r="C258" t="s">
        <v>167</v>
      </c>
      <c r="D258" t="s">
        <v>156</v>
      </c>
      <c r="E258" t="s">
        <v>177</v>
      </c>
      <c r="F258" t="s">
        <v>271</v>
      </c>
      <c r="G258">
        <v>853</v>
      </c>
      <c r="H258" t="s">
        <v>298</v>
      </c>
      <c r="I258">
        <v>285</v>
      </c>
      <c r="J258" t="s">
        <v>246</v>
      </c>
      <c r="K258">
        <v>2</v>
      </c>
      <c r="L258" s="34">
        <v>45681.995138888888</v>
      </c>
      <c r="M258" s="34">
        <v>45681.996527777781</v>
      </c>
      <c r="N258">
        <v>138</v>
      </c>
      <c r="O258">
        <v>19</v>
      </c>
      <c r="P258">
        <v>86</v>
      </c>
      <c r="Q258" s="45">
        <v>30.138609431391242</v>
      </c>
      <c r="R258" t="s">
        <v>82</v>
      </c>
      <c r="S258">
        <v>49</v>
      </c>
    </row>
    <row r="259" spans="1:19">
      <c r="A259">
        <v>2257</v>
      </c>
      <c r="B259">
        <v>3257</v>
      </c>
      <c r="C259" t="s">
        <v>175</v>
      </c>
      <c r="D259" t="s">
        <v>195</v>
      </c>
      <c r="E259" t="s">
        <v>197</v>
      </c>
      <c r="F259" t="s">
        <v>157</v>
      </c>
      <c r="G259">
        <v>861</v>
      </c>
      <c r="H259" t="s">
        <v>302</v>
      </c>
      <c r="I259">
        <v>137</v>
      </c>
      <c r="J259" t="s">
        <v>179</v>
      </c>
      <c r="K259">
        <v>1</v>
      </c>
      <c r="L259" s="34">
        <v>45699.258333333331</v>
      </c>
      <c r="M259" s="34">
        <v>45699.259722222225</v>
      </c>
      <c r="N259">
        <v>123</v>
      </c>
      <c r="O259">
        <v>62</v>
      </c>
      <c r="P259">
        <v>85</v>
      </c>
      <c r="Q259" s="45">
        <v>18.415434469806442</v>
      </c>
      <c r="R259" t="s">
        <v>75</v>
      </c>
      <c r="S259">
        <v>46</v>
      </c>
    </row>
    <row r="260" spans="1:19">
      <c r="A260">
        <v>2258</v>
      </c>
      <c r="B260">
        <v>3258</v>
      </c>
      <c r="C260" t="s">
        <v>163</v>
      </c>
      <c r="D260" t="s">
        <v>215</v>
      </c>
      <c r="E260" t="s">
        <v>177</v>
      </c>
      <c r="F260" t="s">
        <v>265</v>
      </c>
      <c r="G260">
        <v>422</v>
      </c>
      <c r="H260" t="s">
        <v>281</v>
      </c>
      <c r="I260">
        <v>577</v>
      </c>
      <c r="J260" t="s">
        <v>231</v>
      </c>
      <c r="K260">
        <v>3</v>
      </c>
      <c r="L260" s="34">
        <v>45671.328472222223</v>
      </c>
      <c r="M260" s="34">
        <v>45671.332638888889</v>
      </c>
      <c r="N260">
        <v>318</v>
      </c>
      <c r="O260">
        <v>45</v>
      </c>
      <c r="P260">
        <v>64</v>
      </c>
      <c r="Q260" s="45">
        <v>62.279965368473697</v>
      </c>
      <c r="R260" t="s">
        <v>75</v>
      </c>
      <c r="S260">
        <v>45</v>
      </c>
    </row>
    <row r="261" spans="1:19">
      <c r="A261">
        <v>2259</v>
      </c>
      <c r="B261">
        <v>3259</v>
      </c>
      <c r="C261" t="s">
        <v>214</v>
      </c>
      <c r="D261" t="s">
        <v>168</v>
      </c>
      <c r="E261" t="s">
        <v>205</v>
      </c>
      <c r="F261" t="s">
        <v>266</v>
      </c>
      <c r="G261">
        <v>712</v>
      </c>
      <c r="H261" t="s">
        <v>299</v>
      </c>
      <c r="I261">
        <v>631</v>
      </c>
      <c r="J261" t="s">
        <v>211</v>
      </c>
      <c r="K261">
        <v>3</v>
      </c>
      <c r="L261" s="34">
        <v>45713.065972222219</v>
      </c>
      <c r="M261" s="34">
        <v>45713.071527777778</v>
      </c>
      <c r="N261">
        <v>484</v>
      </c>
      <c r="O261">
        <v>98</v>
      </c>
      <c r="P261">
        <v>72</v>
      </c>
      <c r="Q261" s="45">
        <v>91.106845050195233</v>
      </c>
      <c r="R261" t="s">
        <v>75</v>
      </c>
      <c r="S261">
        <v>45</v>
      </c>
    </row>
    <row r="262" spans="1:19">
      <c r="A262">
        <v>2260</v>
      </c>
      <c r="B262">
        <v>3260</v>
      </c>
      <c r="C262" t="s">
        <v>183</v>
      </c>
      <c r="D262" t="s">
        <v>207</v>
      </c>
      <c r="E262" t="s">
        <v>275</v>
      </c>
      <c r="F262" t="s">
        <v>181</v>
      </c>
      <c r="G262">
        <v>486</v>
      </c>
      <c r="H262" t="s">
        <v>295</v>
      </c>
      <c r="I262">
        <v>368</v>
      </c>
      <c r="J262" t="s">
        <v>198</v>
      </c>
      <c r="K262">
        <v>2</v>
      </c>
      <c r="L262" s="34">
        <v>45693.54791666667</v>
      </c>
      <c r="M262" s="34">
        <v>45693.554166666669</v>
      </c>
      <c r="N262">
        <v>529</v>
      </c>
      <c r="O262">
        <v>97</v>
      </c>
      <c r="P262">
        <v>82</v>
      </c>
      <c r="Q262" s="45">
        <v>100</v>
      </c>
      <c r="R262" t="s">
        <v>75</v>
      </c>
      <c r="S262">
        <v>35</v>
      </c>
    </row>
    <row r="263" spans="1:19">
      <c r="A263">
        <v>2261</v>
      </c>
      <c r="B263">
        <v>3261</v>
      </c>
      <c r="C263" t="s">
        <v>78</v>
      </c>
      <c r="D263" t="s">
        <v>70</v>
      </c>
      <c r="E263" t="s">
        <v>205</v>
      </c>
      <c r="F263" t="s">
        <v>203</v>
      </c>
      <c r="G263">
        <v>379</v>
      </c>
      <c r="H263" t="s">
        <v>295</v>
      </c>
      <c r="I263">
        <v>901</v>
      </c>
      <c r="J263" t="s">
        <v>198</v>
      </c>
      <c r="K263">
        <v>3</v>
      </c>
      <c r="L263" s="34">
        <v>45744.30972222222</v>
      </c>
      <c r="M263" s="34">
        <v>45744.3125</v>
      </c>
      <c r="N263">
        <v>205</v>
      </c>
      <c r="O263">
        <v>83</v>
      </c>
      <c r="P263">
        <v>50</v>
      </c>
      <c r="Q263" s="45">
        <v>34.472296211683222</v>
      </c>
      <c r="R263" t="s">
        <v>75</v>
      </c>
      <c r="S263">
        <v>7</v>
      </c>
    </row>
    <row r="264" spans="1:19">
      <c r="A264">
        <v>2262</v>
      </c>
      <c r="B264">
        <v>3262</v>
      </c>
      <c r="C264" t="s">
        <v>217</v>
      </c>
      <c r="D264" t="s">
        <v>261</v>
      </c>
      <c r="E264" t="s">
        <v>177</v>
      </c>
      <c r="F264" t="s">
        <v>267</v>
      </c>
      <c r="G264">
        <v>408</v>
      </c>
      <c r="H264" t="s">
        <v>293</v>
      </c>
      <c r="I264">
        <v>929</v>
      </c>
      <c r="J264" t="s">
        <v>204</v>
      </c>
      <c r="K264">
        <v>2</v>
      </c>
      <c r="L264" s="34">
        <v>45688.977777777778</v>
      </c>
      <c r="M264" s="34">
        <v>45688.98333333333</v>
      </c>
      <c r="N264">
        <v>483</v>
      </c>
      <c r="O264">
        <v>47</v>
      </c>
      <c r="P264">
        <v>67</v>
      </c>
      <c r="Q264" s="45">
        <v>71.753367037683091</v>
      </c>
      <c r="R264" t="s">
        <v>75</v>
      </c>
      <c r="S264">
        <v>34</v>
      </c>
    </row>
    <row r="265" spans="1:19">
      <c r="A265">
        <v>2263</v>
      </c>
      <c r="B265">
        <v>3263</v>
      </c>
      <c r="C265" t="s">
        <v>175</v>
      </c>
      <c r="D265" t="s">
        <v>195</v>
      </c>
      <c r="E265" t="s">
        <v>275</v>
      </c>
      <c r="F265" t="s">
        <v>259</v>
      </c>
      <c r="G265">
        <v>711</v>
      </c>
      <c r="H265" t="s">
        <v>304</v>
      </c>
      <c r="I265">
        <v>354</v>
      </c>
      <c r="J265" t="s">
        <v>201</v>
      </c>
      <c r="K265">
        <v>2</v>
      </c>
      <c r="L265" s="34">
        <v>45778.284722222219</v>
      </c>
      <c r="M265" s="34">
        <v>45778.287499999999</v>
      </c>
      <c r="N265">
        <v>250</v>
      </c>
      <c r="O265">
        <v>33</v>
      </c>
      <c r="P265">
        <v>91</v>
      </c>
      <c r="Q265" s="45">
        <v>32.588255425233264</v>
      </c>
      <c r="R265" t="s">
        <v>82</v>
      </c>
      <c r="S265">
        <v>49</v>
      </c>
    </row>
    <row r="266" spans="1:19">
      <c r="A266">
        <v>2264</v>
      </c>
      <c r="B266">
        <v>3264</v>
      </c>
      <c r="C266" t="s">
        <v>78</v>
      </c>
      <c r="D266" t="s">
        <v>189</v>
      </c>
      <c r="E266" t="s">
        <v>160</v>
      </c>
      <c r="F266" t="s">
        <v>239</v>
      </c>
      <c r="G266">
        <v>923</v>
      </c>
      <c r="H266" t="s">
        <v>301</v>
      </c>
      <c r="I266">
        <v>483</v>
      </c>
      <c r="J266" t="s">
        <v>174</v>
      </c>
      <c r="K266">
        <v>3</v>
      </c>
      <c r="L266" s="34">
        <v>45906.679861111108</v>
      </c>
      <c r="M266" s="34">
        <v>45906.686111111114</v>
      </c>
      <c r="N266">
        <v>563</v>
      </c>
      <c r="O266">
        <v>60</v>
      </c>
      <c r="P266">
        <v>98</v>
      </c>
      <c r="Q266" s="45">
        <v>91.962846909696964</v>
      </c>
      <c r="R266" t="s">
        <v>75</v>
      </c>
      <c r="S266">
        <v>29</v>
      </c>
    </row>
    <row r="267" spans="1:19">
      <c r="A267">
        <v>2265</v>
      </c>
      <c r="B267">
        <v>3265</v>
      </c>
      <c r="C267" t="s">
        <v>155</v>
      </c>
      <c r="D267" t="s">
        <v>221</v>
      </c>
      <c r="E267" t="s">
        <v>275</v>
      </c>
      <c r="F267" t="s">
        <v>271</v>
      </c>
      <c r="G267">
        <v>300</v>
      </c>
      <c r="H267" t="s">
        <v>290</v>
      </c>
      <c r="I267">
        <v>483</v>
      </c>
      <c r="J267" t="s">
        <v>162</v>
      </c>
      <c r="K267">
        <v>3</v>
      </c>
      <c r="L267" s="34">
        <v>45762.990277777775</v>
      </c>
      <c r="M267" s="34">
        <v>45762.996527777781</v>
      </c>
      <c r="N267">
        <v>564</v>
      </c>
      <c r="O267">
        <v>87</v>
      </c>
      <c r="P267">
        <v>99</v>
      </c>
      <c r="Q267" s="45">
        <v>91.801168198198013</v>
      </c>
      <c r="R267" t="s">
        <v>75</v>
      </c>
      <c r="S267">
        <v>9</v>
      </c>
    </row>
    <row r="268" spans="1:19">
      <c r="A268">
        <v>2266</v>
      </c>
      <c r="B268">
        <v>3266</v>
      </c>
      <c r="C268" t="s">
        <v>214</v>
      </c>
      <c r="D268" t="s">
        <v>234</v>
      </c>
      <c r="E268" t="s">
        <v>177</v>
      </c>
      <c r="F268" t="s">
        <v>263</v>
      </c>
      <c r="G268">
        <v>590</v>
      </c>
      <c r="H268" t="s">
        <v>303</v>
      </c>
      <c r="I268">
        <v>656</v>
      </c>
      <c r="J268" t="s">
        <v>208</v>
      </c>
      <c r="K268">
        <v>1</v>
      </c>
      <c r="L268" s="34">
        <v>45666.286111111112</v>
      </c>
      <c r="M268" s="34">
        <v>45666.290277777778</v>
      </c>
      <c r="N268">
        <v>313</v>
      </c>
      <c r="O268">
        <v>44</v>
      </c>
      <c r="P268">
        <v>56</v>
      </c>
      <c r="Q268" s="45">
        <v>57.607593542183622</v>
      </c>
      <c r="R268" t="s">
        <v>75</v>
      </c>
      <c r="S268">
        <v>40</v>
      </c>
    </row>
    <row r="269" spans="1:19">
      <c r="A269">
        <v>2267</v>
      </c>
      <c r="B269">
        <v>3267</v>
      </c>
      <c r="C269" t="s">
        <v>175</v>
      </c>
      <c r="D269" t="s">
        <v>164</v>
      </c>
      <c r="E269" t="s">
        <v>160</v>
      </c>
      <c r="F269" t="s">
        <v>266</v>
      </c>
      <c r="G269">
        <v>211</v>
      </c>
      <c r="H269" t="s">
        <v>277</v>
      </c>
      <c r="I269">
        <v>641</v>
      </c>
      <c r="J269" t="s">
        <v>204</v>
      </c>
      <c r="K269">
        <v>1</v>
      </c>
      <c r="L269" s="34">
        <v>45958.756249999999</v>
      </c>
      <c r="M269" s="34">
        <v>45958.761111111111</v>
      </c>
      <c r="N269">
        <v>415</v>
      </c>
      <c r="O269">
        <v>34</v>
      </c>
      <c r="P269">
        <v>62</v>
      </c>
      <c r="Q269" s="45">
        <v>61.083130241176626</v>
      </c>
      <c r="R269" t="s">
        <v>82</v>
      </c>
      <c r="S269">
        <v>36</v>
      </c>
    </row>
    <row r="270" spans="1:19">
      <c r="A270">
        <v>2268</v>
      </c>
      <c r="B270">
        <v>3268</v>
      </c>
      <c r="C270" t="s">
        <v>199</v>
      </c>
      <c r="D270" t="s">
        <v>189</v>
      </c>
      <c r="E270" t="s">
        <v>205</v>
      </c>
      <c r="F270" t="s">
        <v>270</v>
      </c>
      <c r="G270">
        <v>501</v>
      </c>
      <c r="H270" t="s">
        <v>298</v>
      </c>
      <c r="I270">
        <v>438</v>
      </c>
      <c r="J270" t="s">
        <v>272</v>
      </c>
      <c r="K270">
        <v>3</v>
      </c>
      <c r="L270" s="34">
        <v>45743.268055555556</v>
      </c>
      <c r="M270" s="34">
        <v>45743.270833333336</v>
      </c>
      <c r="N270">
        <v>241</v>
      </c>
      <c r="O270">
        <v>95</v>
      </c>
      <c r="P270">
        <v>50</v>
      </c>
      <c r="Q270" s="45">
        <v>52.276358491251557</v>
      </c>
      <c r="R270" t="s">
        <v>75</v>
      </c>
      <c r="S270">
        <v>20</v>
      </c>
    </row>
    <row r="271" spans="1:19">
      <c r="A271">
        <v>2269</v>
      </c>
      <c r="B271">
        <v>3269</v>
      </c>
      <c r="C271" t="s">
        <v>155</v>
      </c>
      <c r="D271" t="s">
        <v>207</v>
      </c>
      <c r="E271" t="s">
        <v>275</v>
      </c>
      <c r="F271" t="s">
        <v>265</v>
      </c>
      <c r="G271">
        <v>810</v>
      </c>
      <c r="H271" t="s">
        <v>277</v>
      </c>
      <c r="I271">
        <v>413</v>
      </c>
      <c r="J271" t="s">
        <v>252</v>
      </c>
      <c r="K271">
        <v>2</v>
      </c>
      <c r="L271" s="34">
        <v>45966.381249999999</v>
      </c>
      <c r="M271" s="34">
        <v>45966.381944444445</v>
      </c>
      <c r="N271">
        <v>60</v>
      </c>
      <c r="O271">
        <v>5</v>
      </c>
      <c r="P271">
        <v>80</v>
      </c>
      <c r="Q271" s="45">
        <v>15.682916073239889</v>
      </c>
      <c r="R271" t="s">
        <v>82</v>
      </c>
      <c r="S271">
        <v>46</v>
      </c>
    </row>
    <row r="272" spans="1:19">
      <c r="A272">
        <v>2270</v>
      </c>
      <c r="B272">
        <v>3270</v>
      </c>
      <c r="C272" t="s">
        <v>199</v>
      </c>
      <c r="D272" t="s">
        <v>207</v>
      </c>
      <c r="E272" t="s">
        <v>274</v>
      </c>
      <c r="F272" t="s">
        <v>259</v>
      </c>
      <c r="G272">
        <v>725</v>
      </c>
      <c r="H272" t="s">
        <v>298</v>
      </c>
      <c r="I272">
        <v>794</v>
      </c>
      <c r="J272" t="s">
        <v>235</v>
      </c>
      <c r="K272">
        <v>2</v>
      </c>
      <c r="L272" s="34">
        <v>45689.084722222222</v>
      </c>
      <c r="M272" s="34">
        <v>45689.09097222222</v>
      </c>
      <c r="N272">
        <v>543</v>
      </c>
      <c r="O272">
        <v>52</v>
      </c>
      <c r="P272">
        <v>68</v>
      </c>
      <c r="Q272" s="45">
        <v>94.514051622713367</v>
      </c>
      <c r="R272" t="s">
        <v>75</v>
      </c>
      <c r="S272">
        <v>44</v>
      </c>
    </row>
    <row r="273" spans="1:19">
      <c r="A273">
        <v>2271</v>
      </c>
      <c r="B273">
        <v>3271</v>
      </c>
      <c r="C273" t="s">
        <v>155</v>
      </c>
      <c r="D273" t="s">
        <v>261</v>
      </c>
      <c r="E273" t="s">
        <v>275</v>
      </c>
      <c r="F273" t="s">
        <v>269</v>
      </c>
      <c r="G273">
        <v>743</v>
      </c>
      <c r="H273" t="s">
        <v>288</v>
      </c>
      <c r="I273">
        <v>944</v>
      </c>
      <c r="J273" t="s">
        <v>236</v>
      </c>
      <c r="K273">
        <v>2</v>
      </c>
      <c r="L273" s="34">
        <v>45717.422222222223</v>
      </c>
      <c r="M273" s="34">
        <v>45717.428472222222</v>
      </c>
      <c r="N273">
        <v>587</v>
      </c>
      <c r="O273">
        <v>49</v>
      </c>
      <c r="P273">
        <v>89</v>
      </c>
      <c r="Q273" s="45">
        <v>93.238961510267544</v>
      </c>
      <c r="R273" t="s">
        <v>82</v>
      </c>
      <c r="S273">
        <v>34</v>
      </c>
    </row>
    <row r="274" spans="1:19">
      <c r="A274">
        <v>2272</v>
      </c>
      <c r="B274">
        <v>3272</v>
      </c>
      <c r="C274" t="s">
        <v>175</v>
      </c>
      <c r="D274" t="s">
        <v>70</v>
      </c>
      <c r="E274" t="s">
        <v>205</v>
      </c>
      <c r="F274" t="s">
        <v>265</v>
      </c>
      <c r="G274">
        <v>601</v>
      </c>
      <c r="H274" t="s">
        <v>292</v>
      </c>
      <c r="I274">
        <v>212</v>
      </c>
      <c r="J274" t="s">
        <v>210</v>
      </c>
      <c r="K274">
        <v>2</v>
      </c>
      <c r="L274" s="34">
        <v>45888.501388888886</v>
      </c>
      <c r="M274" s="34">
        <v>45888.504861111112</v>
      </c>
      <c r="N274">
        <v>271</v>
      </c>
      <c r="O274">
        <v>53</v>
      </c>
      <c r="P274">
        <v>86</v>
      </c>
      <c r="Q274" s="45">
        <v>41.350966068939805</v>
      </c>
      <c r="R274" t="s">
        <v>75</v>
      </c>
      <c r="S274">
        <v>47</v>
      </c>
    </row>
    <row r="275" spans="1:19">
      <c r="A275">
        <v>2273</v>
      </c>
      <c r="B275">
        <v>3273</v>
      </c>
      <c r="C275" t="s">
        <v>183</v>
      </c>
      <c r="D275" t="s">
        <v>202</v>
      </c>
      <c r="E275" t="s">
        <v>197</v>
      </c>
      <c r="F275" t="s">
        <v>181</v>
      </c>
      <c r="G275">
        <v>607</v>
      </c>
      <c r="H275" t="s">
        <v>283</v>
      </c>
      <c r="I275">
        <v>960</v>
      </c>
      <c r="J275" t="s">
        <v>201</v>
      </c>
      <c r="K275">
        <v>3</v>
      </c>
      <c r="L275" s="34">
        <v>45834.906944444447</v>
      </c>
      <c r="M275" s="34">
        <v>45834.909722222219</v>
      </c>
      <c r="N275">
        <v>215</v>
      </c>
      <c r="O275">
        <v>19</v>
      </c>
      <c r="P275">
        <v>99</v>
      </c>
      <c r="Q275" s="45">
        <v>49.172170926938222</v>
      </c>
      <c r="R275" t="s">
        <v>82</v>
      </c>
      <c r="S275">
        <v>11</v>
      </c>
    </row>
    <row r="276" spans="1:19">
      <c r="A276">
        <v>2274</v>
      </c>
      <c r="B276">
        <v>3274</v>
      </c>
      <c r="C276" t="s">
        <v>199</v>
      </c>
      <c r="D276" t="s">
        <v>168</v>
      </c>
      <c r="E276" t="s">
        <v>275</v>
      </c>
      <c r="F276" t="s">
        <v>270</v>
      </c>
      <c r="G276">
        <v>171</v>
      </c>
      <c r="H276" t="s">
        <v>293</v>
      </c>
      <c r="I276">
        <v>462</v>
      </c>
      <c r="J276" t="s">
        <v>233</v>
      </c>
      <c r="K276">
        <v>3</v>
      </c>
      <c r="L276" s="34">
        <v>45854.991666666669</v>
      </c>
      <c r="M276" s="34">
        <v>45854.997916666667</v>
      </c>
      <c r="N276">
        <v>490</v>
      </c>
      <c r="O276">
        <v>87</v>
      </c>
      <c r="P276">
        <v>92</v>
      </c>
      <c r="Q276" s="45">
        <v>86.821302786221352</v>
      </c>
      <c r="R276" t="s">
        <v>75</v>
      </c>
      <c r="S276">
        <v>43</v>
      </c>
    </row>
    <row r="277" spans="1:19">
      <c r="A277">
        <v>2275</v>
      </c>
      <c r="B277">
        <v>3275</v>
      </c>
      <c r="C277" t="s">
        <v>217</v>
      </c>
      <c r="D277" t="s">
        <v>224</v>
      </c>
      <c r="E277" t="s">
        <v>160</v>
      </c>
      <c r="F277" t="s">
        <v>270</v>
      </c>
      <c r="G277">
        <v>907</v>
      </c>
      <c r="H277" t="s">
        <v>295</v>
      </c>
      <c r="I277">
        <v>419</v>
      </c>
      <c r="J277" t="s">
        <v>264</v>
      </c>
      <c r="K277">
        <v>2</v>
      </c>
      <c r="L277" s="34">
        <v>45865.677083333336</v>
      </c>
      <c r="M277" s="34">
        <v>45865.684027777781</v>
      </c>
      <c r="N277">
        <v>563</v>
      </c>
      <c r="O277">
        <v>38</v>
      </c>
      <c r="P277">
        <v>89</v>
      </c>
      <c r="Q277" s="45">
        <v>91.629524989083095</v>
      </c>
      <c r="R277" t="s">
        <v>82</v>
      </c>
      <c r="S277">
        <v>19</v>
      </c>
    </row>
    <row r="278" spans="1:19">
      <c r="A278">
        <v>2276</v>
      </c>
      <c r="B278">
        <v>3276</v>
      </c>
      <c r="C278" t="s">
        <v>251</v>
      </c>
      <c r="D278" t="s">
        <v>70</v>
      </c>
      <c r="E278" t="s">
        <v>275</v>
      </c>
      <c r="F278" t="s">
        <v>269</v>
      </c>
      <c r="G278">
        <v>429</v>
      </c>
      <c r="H278" t="s">
        <v>304</v>
      </c>
      <c r="I278">
        <v>544</v>
      </c>
      <c r="J278" t="s">
        <v>246</v>
      </c>
      <c r="K278">
        <v>2</v>
      </c>
      <c r="L278" s="34">
        <v>45981.558333333334</v>
      </c>
      <c r="M278" s="34">
        <v>45981.563194444447</v>
      </c>
      <c r="N278">
        <v>475</v>
      </c>
      <c r="O278">
        <v>48</v>
      </c>
      <c r="P278">
        <v>77</v>
      </c>
      <c r="Q278" s="45">
        <v>68.526889626370235</v>
      </c>
      <c r="R278" t="s">
        <v>75</v>
      </c>
      <c r="S278">
        <v>40</v>
      </c>
    </row>
    <row r="279" spans="1:19">
      <c r="A279">
        <v>2277</v>
      </c>
      <c r="B279">
        <v>3277</v>
      </c>
      <c r="C279" t="s">
        <v>159</v>
      </c>
      <c r="D279" t="s">
        <v>202</v>
      </c>
      <c r="E279" t="s">
        <v>274</v>
      </c>
      <c r="F279" t="s">
        <v>273</v>
      </c>
      <c r="G279">
        <v>472</v>
      </c>
      <c r="H279" t="s">
        <v>280</v>
      </c>
      <c r="I279">
        <v>335</v>
      </c>
      <c r="J279" t="s">
        <v>272</v>
      </c>
      <c r="K279">
        <v>2</v>
      </c>
      <c r="L279" s="34">
        <v>45675.527083333334</v>
      </c>
      <c r="M279" s="34">
        <v>45675.52847222222</v>
      </c>
      <c r="N279">
        <v>118</v>
      </c>
      <c r="O279">
        <v>96</v>
      </c>
      <c r="P279">
        <v>57</v>
      </c>
      <c r="Q279" s="45">
        <v>34.144678690185479</v>
      </c>
      <c r="R279" t="s">
        <v>75</v>
      </c>
      <c r="S279">
        <v>32</v>
      </c>
    </row>
    <row r="280" spans="1:19">
      <c r="A280">
        <v>2278</v>
      </c>
      <c r="B280">
        <v>3278</v>
      </c>
      <c r="C280" t="s">
        <v>214</v>
      </c>
      <c r="D280" t="s">
        <v>224</v>
      </c>
      <c r="E280" t="s">
        <v>274</v>
      </c>
      <c r="F280" t="s">
        <v>270</v>
      </c>
      <c r="G280">
        <v>464</v>
      </c>
      <c r="H280" t="s">
        <v>290</v>
      </c>
      <c r="I280">
        <v>563</v>
      </c>
      <c r="J280" t="s">
        <v>174</v>
      </c>
      <c r="K280">
        <v>3</v>
      </c>
      <c r="L280" s="34">
        <v>45961.9375</v>
      </c>
      <c r="M280" s="34">
        <v>45961.942361111112</v>
      </c>
      <c r="N280">
        <v>447</v>
      </c>
      <c r="O280">
        <v>85</v>
      </c>
      <c r="P280">
        <v>83</v>
      </c>
      <c r="Q280" s="45">
        <v>69.532717537612342</v>
      </c>
      <c r="R280" t="s">
        <v>75</v>
      </c>
      <c r="S280">
        <v>14</v>
      </c>
    </row>
    <row r="281" spans="1:19">
      <c r="A281">
        <v>2279</v>
      </c>
      <c r="B281">
        <v>3279</v>
      </c>
      <c r="C281" t="s">
        <v>159</v>
      </c>
      <c r="D281" t="s">
        <v>249</v>
      </c>
      <c r="E281" t="s">
        <v>197</v>
      </c>
      <c r="F281" t="s">
        <v>273</v>
      </c>
      <c r="G281">
        <v>486</v>
      </c>
      <c r="H281" t="s">
        <v>300</v>
      </c>
      <c r="I281">
        <v>130</v>
      </c>
      <c r="J281" t="s">
        <v>238</v>
      </c>
      <c r="K281">
        <v>3</v>
      </c>
      <c r="L281" s="34">
        <v>45888.543055555558</v>
      </c>
      <c r="M281" s="34">
        <v>45888.547222222223</v>
      </c>
      <c r="N281">
        <v>355</v>
      </c>
      <c r="O281">
        <v>56</v>
      </c>
      <c r="P281">
        <v>75</v>
      </c>
      <c r="Q281" s="45">
        <v>60.995629130083245</v>
      </c>
      <c r="R281" t="s">
        <v>75</v>
      </c>
      <c r="S281">
        <v>22</v>
      </c>
    </row>
    <row r="282" spans="1:19">
      <c r="A282">
        <v>2280</v>
      </c>
      <c r="B282">
        <v>3280</v>
      </c>
      <c r="C282" t="s">
        <v>199</v>
      </c>
      <c r="D282" t="s">
        <v>156</v>
      </c>
      <c r="E282" t="s">
        <v>160</v>
      </c>
      <c r="F282" t="s">
        <v>273</v>
      </c>
      <c r="G282">
        <v>698</v>
      </c>
      <c r="H282" t="s">
        <v>285</v>
      </c>
      <c r="I282">
        <v>431</v>
      </c>
      <c r="J282" t="s">
        <v>158</v>
      </c>
      <c r="K282">
        <v>3</v>
      </c>
      <c r="L282" s="34">
        <v>45737.919444444444</v>
      </c>
      <c r="M282" s="34">
        <v>45737.92291666667</v>
      </c>
      <c r="N282">
        <v>255</v>
      </c>
      <c r="O282">
        <v>15</v>
      </c>
      <c r="P282">
        <v>98</v>
      </c>
      <c r="Q282" s="45">
        <v>49.475340190438303</v>
      </c>
      <c r="R282" t="s">
        <v>82</v>
      </c>
      <c r="S282">
        <v>46</v>
      </c>
    </row>
    <row r="283" spans="1:19">
      <c r="A283">
        <v>2281</v>
      </c>
      <c r="B283">
        <v>3281</v>
      </c>
      <c r="C283" t="s">
        <v>183</v>
      </c>
      <c r="D283" t="s">
        <v>249</v>
      </c>
      <c r="E283" t="s">
        <v>274</v>
      </c>
      <c r="F283" t="s">
        <v>262</v>
      </c>
      <c r="G283">
        <v>803</v>
      </c>
      <c r="H283" t="s">
        <v>284</v>
      </c>
      <c r="I283">
        <v>413</v>
      </c>
      <c r="J283" t="s">
        <v>247</v>
      </c>
      <c r="K283">
        <v>3</v>
      </c>
      <c r="L283" s="34">
        <v>45851.561111111114</v>
      </c>
      <c r="M283" s="34">
        <v>45851.563194444447</v>
      </c>
      <c r="N283">
        <v>177</v>
      </c>
      <c r="O283">
        <v>49</v>
      </c>
      <c r="P283">
        <v>100</v>
      </c>
      <c r="Q283" s="45">
        <v>22.441574406941225</v>
      </c>
      <c r="R283" t="s">
        <v>82</v>
      </c>
      <c r="S283">
        <v>33</v>
      </c>
    </row>
    <row r="284" spans="1:19">
      <c r="A284">
        <v>2282</v>
      </c>
      <c r="B284">
        <v>3282</v>
      </c>
      <c r="C284" t="s">
        <v>190</v>
      </c>
      <c r="D284" t="s">
        <v>249</v>
      </c>
      <c r="E284" t="s">
        <v>177</v>
      </c>
      <c r="F284" t="s">
        <v>203</v>
      </c>
      <c r="G284">
        <v>486</v>
      </c>
      <c r="H284" t="s">
        <v>279</v>
      </c>
      <c r="I284">
        <v>551</v>
      </c>
      <c r="J284" t="s">
        <v>198</v>
      </c>
      <c r="K284">
        <v>3</v>
      </c>
      <c r="L284" s="34">
        <v>45915.870138888888</v>
      </c>
      <c r="M284" s="34">
        <v>45915.871527777781</v>
      </c>
      <c r="N284">
        <v>111</v>
      </c>
      <c r="O284">
        <v>47</v>
      </c>
      <c r="P284">
        <v>89</v>
      </c>
      <c r="Q284" s="45">
        <v>20.738577106854876</v>
      </c>
      <c r="R284" t="s">
        <v>82</v>
      </c>
      <c r="S284">
        <v>23</v>
      </c>
    </row>
    <row r="285" spans="1:19">
      <c r="A285">
        <v>2283</v>
      </c>
      <c r="B285">
        <v>3283</v>
      </c>
      <c r="C285" t="s">
        <v>167</v>
      </c>
      <c r="D285" t="s">
        <v>221</v>
      </c>
      <c r="E285" t="s">
        <v>205</v>
      </c>
      <c r="F285" t="s">
        <v>270</v>
      </c>
      <c r="G285">
        <v>915</v>
      </c>
      <c r="H285" t="s">
        <v>279</v>
      </c>
      <c r="I285">
        <v>470</v>
      </c>
      <c r="J285" t="s">
        <v>222</v>
      </c>
      <c r="K285">
        <v>2</v>
      </c>
      <c r="L285" s="34">
        <v>45839.133333333331</v>
      </c>
      <c r="M285" s="34">
        <v>45839.137499999997</v>
      </c>
      <c r="N285">
        <v>328</v>
      </c>
      <c r="O285">
        <v>36</v>
      </c>
      <c r="P285">
        <v>100</v>
      </c>
      <c r="Q285" s="45">
        <v>69.089075487529797</v>
      </c>
      <c r="R285" t="s">
        <v>82</v>
      </c>
      <c r="S285">
        <v>20</v>
      </c>
    </row>
    <row r="286" spans="1:19">
      <c r="A286">
        <v>2284</v>
      </c>
      <c r="B286">
        <v>3284</v>
      </c>
      <c r="C286" t="s">
        <v>227</v>
      </c>
      <c r="D286" t="s">
        <v>261</v>
      </c>
      <c r="E286" t="s">
        <v>197</v>
      </c>
      <c r="F286" t="s">
        <v>239</v>
      </c>
      <c r="G286">
        <v>535</v>
      </c>
      <c r="H286" t="s">
        <v>297</v>
      </c>
      <c r="I286">
        <v>811</v>
      </c>
      <c r="J286" t="s">
        <v>246</v>
      </c>
      <c r="K286">
        <v>1</v>
      </c>
      <c r="L286" s="34">
        <v>45671.20416666667</v>
      </c>
      <c r="M286" s="34">
        <v>45671.208333333336</v>
      </c>
      <c r="N286">
        <v>319</v>
      </c>
      <c r="O286">
        <v>85</v>
      </c>
      <c r="P286">
        <v>66</v>
      </c>
      <c r="Q286" s="45">
        <v>52.720080677461382</v>
      </c>
      <c r="R286" t="s">
        <v>75</v>
      </c>
      <c r="S286">
        <v>43</v>
      </c>
    </row>
    <row r="287" spans="1:19">
      <c r="A287">
        <v>2285</v>
      </c>
      <c r="B287">
        <v>3285</v>
      </c>
      <c r="C287" t="s">
        <v>175</v>
      </c>
      <c r="D287" t="s">
        <v>261</v>
      </c>
      <c r="E287" t="s">
        <v>205</v>
      </c>
      <c r="F287" t="s">
        <v>258</v>
      </c>
      <c r="G287">
        <v>824</v>
      </c>
      <c r="H287" t="s">
        <v>285</v>
      </c>
      <c r="I287">
        <v>880</v>
      </c>
      <c r="J287" t="s">
        <v>222</v>
      </c>
      <c r="K287">
        <v>2</v>
      </c>
      <c r="L287" s="34">
        <v>45889.575694444444</v>
      </c>
      <c r="M287" s="34">
        <v>45889.582638888889</v>
      </c>
      <c r="N287">
        <v>587</v>
      </c>
      <c r="O287">
        <v>86</v>
      </c>
      <c r="P287">
        <v>74</v>
      </c>
      <c r="Q287" s="45">
        <v>96.665913622098259</v>
      </c>
      <c r="R287" t="s">
        <v>75</v>
      </c>
      <c r="S287">
        <v>28</v>
      </c>
    </row>
    <row r="288" spans="1:19">
      <c r="A288">
        <v>2286</v>
      </c>
      <c r="B288">
        <v>3286</v>
      </c>
      <c r="C288" t="s">
        <v>190</v>
      </c>
      <c r="D288" t="s">
        <v>215</v>
      </c>
      <c r="E288" t="s">
        <v>177</v>
      </c>
      <c r="F288" t="s">
        <v>273</v>
      </c>
      <c r="G288">
        <v>596</v>
      </c>
      <c r="H288" t="s">
        <v>278</v>
      </c>
      <c r="I288">
        <v>350</v>
      </c>
      <c r="J288" t="s">
        <v>185</v>
      </c>
      <c r="K288">
        <v>3</v>
      </c>
      <c r="L288" s="34">
        <v>45928.154166666667</v>
      </c>
      <c r="M288" s="34">
        <v>45928.156944444447</v>
      </c>
      <c r="N288">
        <v>252</v>
      </c>
      <c r="O288">
        <v>62</v>
      </c>
      <c r="P288">
        <v>51</v>
      </c>
      <c r="Q288" s="45">
        <v>38.813320173491796</v>
      </c>
      <c r="R288" t="s">
        <v>75</v>
      </c>
      <c r="S288">
        <v>46</v>
      </c>
    </row>
    <row r="289" spans="1:19">
      <c r="A289">
        <v>2287</v>
      </c>
      <c r="B289">
        <v>3287</v>
      </c>
      <c r="C289" t="s">
        <v>217</v>
      </c>
      <c r="D289" t="s">
        <v>164</v>
      </c>
      <c r="E289" t="s">
        <v>187</v>
      </c>
      <c r="F289" t="s">
        <v>203</v>
      </c>
      <c r="G289">
        <v>677</v>
      </c>
      <c r="H289" t="s">
        <v>290</v>
      </c>
      <c r="I289">
        <v>383</v>
      </c>
      <c r="J289" t="s">
        <v>235</v>
      </c>
      <c r="K289">
        <v>1</v>
      </c>
      <c r="L289" s="34">
        <v>45823.424305555556</v>
      </c>
      <c r="M289" s="34">
        <v>45823.425694444442</v>
      </c>
      <c r="N289">
        <v>88</v>
      </c>
      <c r="O289">
        <v>75</v>
      </c>
      <c r="P289">
        <v>59</v>
      </c>
      <c r="Q289" s="45">
        <v>21.546445077462849</v>
      </c>
      <c r="R289" t="s">
        <v>75</v>
      </c>
      <c r="S289">
        <v>18</v>
      </c>
    </row>
    <row r="290" spans="1:19">
      <c r="A290">
        <v>2288</v>
      </c>
      <c r="B290">
        <v>3288</v>
      </c>
      <c r="C290" t="s">
        <v>172</v>
      </c>
      <c r="D290" t="s">
        <v>168</v>
      </c>
      <c r="E290" t="s">
        <v>169</v>
      </c>
      <c r="F290" t="s">
        <v>265</v>
      </c>
      <c r="G290">
        <v>710</v>
      </c>
      <c r="H290" t="s">
        <v>297</v>
      </c>
      <c r="I290">
        <v>831</v>
      </c>
      <c r="J290" t="s">
        <v>252</v>
      </c>
      <c r="K290">
        <v>2</v>
      </c>
      <c r="L290" s="34">
        <v>45664.841666666667</v>
      </c>
      <c r="M290" s="34">
        <v>45664.844444444447</v>
      </c>
      <c r="N290">
        <v>261</v>
      </c>
      <c r="O290">
        <v>50</v>
      </c>
      <c r="P290">
        <v>54</v>
      </c>
      <c r="Q290" s="45">
        <v>66.916374107021753</v>
      </c>
      <c r="R290" t="s">
        <v>75</v>
      </c>
      <c r="S290">
        <v>29</v>
      </c>
    </row>
    <row r="291" spans="1:19">
      <c r="A291">
        <v>2289</v>
      </c>
      <c r="B291">
        <v>3289</v>
      </c>
      <c r="C291" t="s">
        <v>172</v>
      </c>
      <c r="D291" t="s">
        <v>261</v>
      </c>
      <c r="E291" t="s">
        <v>169</v>
      </c>
      <c r="F291" t="s">
        <v>273</v>
      </c>
      <c r="G291">
        <v>149</v>
      </c>
      <c r="H291" t="s">
        <v>284</v>
      </c>
      <c r="I291">
        <v>505</v>
      </c>
      <c r="J291" t="s">
        <v>158</v>
      </c>
      <c r="K291">
        <v>2</v>
      </c>
      <c r="L291" s="34">
        <v>45689.039583333331</v>
      </c>
      <c r="M291" s="34">
        <v>45689.041666666664</v>
      </c>
      <c r="N291">
        <v>160</v>
      </c>
      <c r="O291">
        <v>25</v>
      </c>
      <c r="P291">
        <v>65</v>
      </c>
      <c r="Q291" s="45">
        <v>35.295973585688316</v>
      </c>
      <c r="R291" t="s">
        <v>82</v>
      </c>
      <c r="S291">
        <v>24</v>
      </c>
    </row>
    <row r="292" spans="1:19">
      <c r="A292">
        <v>2290</v>
      </c>
      <c r="B292">
        <v>3290</v>
      </c>
      <c r="C292" t="s">
        <v>253</v>
      </c>
      <c r="D292" t="s">
        <v>164</v>
      </c>
      <c r="E292" t="s">
        <v>205</v>
      </c>
      <c r="F292" t="s">
        <v>256</v>
      </c>
      <c r="G292">
        <v>841</v>
      </c>
      <c r="H292" t="s">
        <v>283</v>
      </c>
      <c r="I292">
        <v>487</v>
      </c>
      <c r="J292" t="s">
        <v>254</v>
      </c>
      <c r="K292">
        <v>3</v>
      </c>
      <c r="L292" s="34">
        <v>45771.614583333336</v>
      </c>
      <c r="M292" s="34">
        <v>45771.618750000001</v>
      </c>
      <c r="N292">
        <v>369</v>
      </c>
      <c r="O292">
        <v>92</v>
      </c>
      <c r="P292">
        <v>57</v>
      </c>
      <c r="Q292" s="45">
        <v>74.578509105697066</v>
      </c>
      <c r="R292" t="s">
        <v>75</v>
      </c>
      <c r="S292">
        <v>8</v>
      </c>
    </row>
    <row r="293" spans="1:19">
      <c r="A293">
        <v>2291</v>
      </c>
      <c r="B293">
        <v>3291</v>
      </c>
      <c r="C293" t="s">
        <v>199</v>
      </c>
      <c r="D293" t="s">
        <v>224</v>
      </c>
      <c r="E293" t="s">
        <v>275</v>
      </c>
      <c r="F293" t="s">
        <v>255</v>
      </c>
      <c r="G293">
        <v>697</v>
      </c>
      <c r="H293" t="s">
        <v>286</v>
      </c>
      <c r="I293">
        <v>176</v>
      </c>
      <c r="J293" t="s">
        <v>174</v>
      </c>
      <c r="K293">
        <v>2</v>
      </c>
      <c r="L293" s="34">
        <v>45766.505555555559</v>
      </c>
      <c r="M293" s="34">
        <v>45766.511805555558</v>
      </c>
      <c r="N293">
        <v>527</v>
      </c>
      <c r="O293">
        <v>79</v>
      </c>
      <c r="P293">
        <v>66</v>
      </c>
      <c r="Q293" s="45">
        <v>78.42321981374667</v>
      </c>
      <c r="R293" t="s">
        <v>75</v>
      </c>
      <c r="S293">
        <v>32</v>
      </c>
    </row>
    <row r="294" spans="1:19">
      <c r="A294">
        <v>2292</v>
      </c>
      <c r="B294">
        <v>3292</v>
      </c>
      <c r="C294" t="s">
        <v>78</v>
      </c>
      <c r="D294" t="s">
        <v>207</v>
      </c>
      <c r="E294" t="s">
        <v>205</v>
      </c>
      <c r="F294" t="s">
        <v>267</v>
      </c>
      <c r="G294">
        <v>437</v>
      </c>
      <c r="H294" t="s">
        <v>279</v>
      </c>
      <c r="I294">
        <v>811</v>
      </c>
      <c r="J294" t="s">
        <v>229</v>
      </c>
      <c r="K294">
        <v>3</v>
      </c>
      <c r="L294" s="34">
        <v>45920.186805555553</v>
      </c>
      <c r="M294" s="34">
        <v>45920.189583333333</v>
      </c>
      <c r="N294">
        <v>193</v>
      </c>
      <c r="O294">
        <v>92</v>
      </c>
      <c r="P294">
        <v>83</v>
      </c>
      <c r="Q294" s="45">
        <v>29.08949709485627</v>
      </c>
      <c r="R294" t="s">
        <v>75</v>
      </c>
      <c r="S294">
        <v>36</v>
      </c>
    </row>
    <row r="295" spans="1:19">
      <c r="A295">
        <v>2293</v>
      </c>
      <c r="B295">
        <v>3293</v>
      </c>
      <c r="C295" t="s">
        <v>163</v>
      </c>
      <c r="D295" t="s">
        <v>168</v>
      </c>
      <c r="E295" t="s">
        <v>160</v>
      </c>
      <c r="F295" t="s">
        <v>266</v>
      </c>
      <c r="G295">
        <v>216</v>
      </c>
      <c r="H295" t="s">
        <v>293</v>
      </c>
      <c r="I295">
        <v>904</v>
      </c>
      <c r="J295" t="s">
        <v>231</v>
      </c>
      <c r="K295">
        <v>1</v>
      </c>
      <c r="L295" s="34">
        <v>45748.415277777778</v>
      </c>
      <c r="M295" s="34">
        <v>45748.419444444444</v>
      </c>
      <c r="N295">
        <v>368</v>
      </c>
      <c r="O295">
        <v>40</v>
      </c>
      <c r="P295">
        <v>50</v>
      </c>
      <c r="Q295" s="45">
        <v>67.73744726311709</v>
      </c>
      <c r="R295" t="s">
        <v>75</v>
      </c>
      <c r="S295">
        <v>48</v>
      </c>
    </row>
    <row r="296" spans="1:19">
      <c r="A296">
        <v>2294</v>
      </c>
      <c r="B296">
        <v>3294</v>
      </c>
      <c r="C296" t="s">
        <v>183</v>
      </c>
      <c r="D296" t="s">
        <v>261</v>
      </c>
      <c r="E296" t="s">
        <v>197</v>
      </c>
      <c r="F296" t="s">
        <v>260</v>
      </c>
      <c r="G296">
        <v>518</v>
      </c>
      <c r="H296" t="s">
        <v>298</v>
      </c>
      <c r="I296">
        <v>606</v>
      </c>
      <c r="J296" t="s">
        <v>171</v>
      </c>
      <c r="K296">
        <v>3</v>
      </c>
      <c r="L296" s="34">
        <v>45707.07916666667</v>
      </c>
      <c r="M296" s="34">
        <v>45707.085416666669</v>
      </c>
      <c r="N296">
        <v>518</v>
      </c>
      <c r="O296">
        <v>73</v>
      </c>
      <c r="P296">
        <v>77</v>
      </c>
      <c r="Q296" s="45">
        <v>91.242510378265393</v>
      </c>
      <c r="R296" t="s">
        <v>75</v>
      </c>
      <c r="S296">
        <v>23</v>
      </c>
    </row>
    <row r="297" spans="1:19">
      <c r="A297">
        <v>2295</v>
      </c>
      <c r="B297">
        <v>3295</v>
      </c>
      <c r="C297" t="s">
        <v>159</v>
      </c>
      <c r="D297" t="s">
        <v>261</v>
      </c>
      <c r="E297" t="s">
        <v>169</v>
      </c>
      <c r="F297" t="s">
        <v>255</v>
      </c>
      <c r="G297">
        <v>974</v>
      </c>
      <c r="H297" t="s">
        <v>300</v>
      </c>
      <c r="I297">
        <v>419</v>
      </c>
      <c r="J297" t="s">
        <v>272</v>
      </c>
      <c r="K297">
        <v>2</v>
      </c>
      <c r="L297" s="34">
        <v>45743.984722222223</v>
      </c>
      <c r="M297" s="34">
        <v>45743.988888888889</v>
      </c>
      <c r="N297">
        <v>403</v>
      </c>
      <c r="O297">
        <v>47</v>
      </c>
      <c r="P297">
        <v>97</v>
      </c>
      <c r="Q297" s="45">
        <v>75.045741982055233</v>
      </c>
      <c r="R297" t="s">
        <v>82</v>
      </c>
      <c r="S297">
        <v>35</v>
      </c>
    </row>
    <row r="298" spans="1:19">
      <c r="A298">
        <v>2296</v>
      </c>
      <c r="B298">
        <v>3296</v>
      </c>
      <c r="C298" t="s">
        <v>175</v>
      </c>
      <c r="D298" t="s">
        <v>202</v>
      </c>
      <c r="E298" t="s">
        <v>197</v>
      </c>
      <c r="F298" t="s">
        <v>270</v>
      </c>
      <c r="G298">
        <v>965</v>
      </c>
      <c r="H298" t="s">
        <v>296</v>
      </c>
      <c r="I298">
        <v>440</v>
      </c>
      <c r="J298" t="s">
        <v>213</v>
      </c>
      <c r="K298">
        <v>1</v>
      </c>
      <c r="L298" s="34">
        <v>45744.682638888888</v>
      </c>
      <c r="M298" s="34">
        <v>45744.688888888886</v>
      </c>
      <c r="N298">
        <v>524</v>
      </c>
      <c r="O298">
        <v>4</v>
      </c>
      <c r="P298">
        <v>51</v>
      </c>
      <c r="Q298" s="45">
        <v>87.187131417372044</v>
      </c>
      <c r="R298" t="s">
        <v>82</v>
      </c>
      <c r="S298">
        <v>16</v>
      </c>
    </row>
    <row r="299" spans="1:19">
      <c r="A299">
        <v>2297</v>
      </c>
      <c r="B299">
        <v>3297</v>
      </c>
      <c r="C299" t="s">
        <v>188</v>
      </c>
      <c r="D299" t="s">
        <v>191</v>
      </c>
      <c r="E299" t="s">
        <v>187</v>
      </c>
      <c r="F299" t="s">
        <v>270</v>
      </c>
      <c r="G299">
        <v>326</v>
      </c>
      <c r="H299" t="s">
        <v>281</v>
      </c>
      <c r="I299">
        <v>425</v>
      </c>
      <c r="J299" t="s">
        <v>182</v>
      </c>
      <c r="K299">
        <v>1</v>
      </c>
      <c r="L299" s="34">
        <v>45876.352083333331</v>
      </c>
      <c r="M299" s="34">
        <v>45876.356944444444</v>
      </c>
      <c r="N299">
        <v>399</v>
      </c>
      <c r="O299">
        <v>26</v>
      </c>
      <c r="P299">
        <v>51</v>
      </c>
      <c r="Q299" s="45">
        <v>60.663745437909384</v>
      </c>
      <c r="R299" t="s">
        <v>82</v>
      </c>
      <c r="S299">
        <v>39</v>
      </c>
    </row>
    <row r="300" spans="1:19">
      <c r="A300">
        <v>2298</v>
      </c>
      <c r="B300">
        <v>3298</v>
      </c>
      <c r="C300" t="s">
        <v>214</v>
      </c>
      <c r="D300" t="s">
        <v>207</v>
      </c>
      <c r="E300" t="s">
        <v>275</v>
      </c>
      <c r="F300" t="s">
        <v>255</v>
      </c>
      <c r="G300">
        <v>842</v>
      </c>
      <c r="H300" t="s">
        <v>293</v>
      </c>
      <c r="I300">
        <v>911</v>
      </c>
      <c r="J300" t="s">
        <v>182</v>
      </c>
      <c r="K300">
        <v>2</v>
      </c>
      <c r="L300" s="34">
        <v>45844.70416666667</v>
      </c>
      <c r="M300" s="34">
        <v>45844.708333333336</v>
      </c>
      <c r="N300">
        <v>384</v>
      </c>
      <c r="O300">
        <v>71</v>
      </c>
      <c r="P300">
        <v>50</v>
      </c>
      <c r="Q300" s="45">
        <v>67.22602534243498</v>
      </c>
      <c r="R300" t="s">
        <v>75</v>
      </c>
      <c r="S300">
        <v>43</v>
      </c>
    </row>
    <row r="301" spans="1:19">
      <c r="A301">
        <v>2299</v>
      </c>
      <c r="B301">
        <v>3299</v>
      </c>
      <c r="C301" t="s">
        <v>159</v>
      </c>
      <c r="D301" t="s">
        <v>234</v>
      </c>
      <c r="E301" t="s">
        <v>187</v>
      </c>
      <c r="F301" t="s">
        <v>267</v>
      </c>
      <c r="G301">
        <v>713</v>
      </c>
      <c r="H301" t="s">
        <v>276</v>
      </c>
      <c r="I301">
        <v>828</v>
      </c>
      <c r="J301" t="s">
        <v>220</v>
      </c>
      <c r="K301">
        <v>2</v>
      </c>
      <c r="L301" s="34">
        <v>45980.487500000003</v>
      </c>
      <c r="M301" s="34">
        <v>45980.488888888889</v>
      </c>
      <c r="N301">
        <v>118</v>
      </c>
      <c r="O301">
        <v>60</v>
      </c>
      <c r="P301">
        <v>93</v>
      </c>
      <c r="Q301" s="45">
        <v>27.362774388305478</v>
      </c>
      <c r="R301" t="s">
        <v>75</v>
      </c>
      <c r="S301">
        <v>5</v>
      </c>
    </row>
    <row r="302" spans="1:19">
      <c r="A302">
        <v>2300</v>
      </c>
      <c r="B302">
        <v>3300</v>
      </c>
      <c r="C302" t="s">
        <v>253</v>
      </c>
      <c r="D302" t="s">
        <v>241</v>
      </c>
      <c r="E302" t="s">
        <v>209</v>
      </c>
      <c r="F302" t="s">
        <v>255</v>
      </c>
      <c r="G302">
        <v>473</v>
      </c>
      <c r="H302" t="s">
        <v>289</v>
      </c>
      <c r="I302">
        <v>955</v>
      </c>
      <c r="J302" t="s">
        <v>185</v>
      </c>
      <c r="K302">
        <v>2</v>
      </c>
      <c r="L302" s="34">
        <v>45967.65902777778</v>
      </c>
      <c r="M302" s="34">
        <v>45967.660416666666</v>
      </c>
      <c r="N302">
        <v>157</v>
      </c>
      <c r="O302">
        <v>52</v>
      </c>
      <c r="P302">
        <v>90</v>
      </c>
      <c r="Q302" s="45">
        <v>30.651444413128424</v>
      </c>
      <c r="R302" t="s">
        <v>82</v>
      </c>
      <c r="S302">
        <v>34</v>
      </c>
    </row>
    <row r="303" spans="1:19">
      <c r="A303">
        <v>2301</v>
      </c>
      <c r="B303">
        <v>3301</v>
      </c>
      <c r="C303" t="s">
        <v>253</v>
      </c>
      <c r="D303" t="s">
        <v>168</v>
      </c>
      <c r="E303" t="s">
        <v>160</v>
      </c>
      <c r="F303" t="s">
        <v>269</v>
      </c>
      <c r="G303">
        <v>709</v>
      </c>
      <c r="H303" t="s">
        <v>303</v>
      </c>
      <c r="I303">
        <v>322</v>
      </c>
      <c r="J303" t="s">
        <v>196</v>
      </c>
      <c r="K303">
        <v>2</v>
      </c>
      <c r="L303" s="34">
        <v>45712.843055555553</v>
      </c>
      <c r="M303" s="34">
        <v>45712.844444444447</v>
      </c>
      <c r="N303">
        <v>137</v>
      </c>
      <c r="O303">
        <v>13</v>
      </c>
      <c r="P303">
        <v>71</v>
      </c>
      <c r="Q303" s="45">
        <v>31.927856718159834</v>
      </c>
      <c r="R303" t="s">
        <v>82</v>
      </c>
      <c r="S303">
        <v>37</v>
      </c>
    </row>
    <row r="304" spans="1:19">
      <c r="A304">
        <v>2302</v>
      </c>
      <c r="B304">
        <v>3302</v>
      </c>
      <c r="C304" t="s">
        <v>163</v>
      </c>
      <c r="D304" t="s">
        <v>176</v>
      </c>
      <c r="E304" t="s">
        <v>209</v>
      </c>
      <c r="F304" t="s">
        <v>271</v>
      </c>
      <c r="G304">
        <v>576</v>
      </c>
      <c r="H304" t="s">
        <v>285</v>
      </c>
      <c r="I304">
        <v>141</v>
      </c>
      <c r="J304" t="s">
        <v>257</v>
      </c>
      <c r="K304">
        <v>2</v>
      </c>
      <c r="L304" s="34">
        <v>45863.81527777778</v>
      </c>
      <c r="M304" s="34">
        <v>45863.821527777778</v>
      </c>
      <c r="N304">
        <v>516</v>
      </c>
      <c r="O304">
        <v>38</v>
      </c>
      <c r="P304">
        <v>50</v>
      </c>
      <c r="Q304" s="45">
        <v>88.814884440639318</v>
      </c>
      <c r="R304" t="s">
        <v>75</v>
      </c>
      <c r="S304">
        <v>47</v>
      </c>
    </row>
    <row r="305" spans="1:19">
      <c r="A305">
        <v>2303</v>
      </c>
      <c r="B305">
        <v>3303</v>
      </c>
      <c r="C305" t="s">
        <v>217</v>
      </c>
      <c r="D305" t="s">
        <v>189</v>
      </c>
      <c r="E305" t="s">
        <v>205</v>
      </c>
      <c r="F305" t="s">
        <v>273</v>
      </c>
      <c r="G305">
        <v>923</v>
      </c>
      <c r="H305" t="s">
        <v>290</v>
      </c>
      <c r="I305">
        <v>495</v>
      </c>
      <c r="J305" t="s">
        <v>230</v>
      </c>
      <c r="K305">
        <v>2</v>
      </c>
      <c r="L305" s="34">
        <v>45848.427083333336</v>
      </c>
      <c r="M305" s="34">
        <v>45848.430555555555</v>
      </c>
      <c r="N305">
        <v>273</v>
      </c>
      <c r="O305">
        <v>42</v>
      </c>
      <c r="P305">
        <v>63</v>
      </c>
      <c r="Q305" s="45">
        <v>60.918509737036921</v>
      </c>
      <c r="R305" t="s">
        <v>75</v>
      </c>
      <c r="S305">
        <v>12</v>
      </c>
    </row>
    <row r="306" spans="1:19">
      <c r="A306">
        <v>2304</v>
      </c>
      <c r="B306">
        <v>3304</v>
      </c>
      <c r="C306" t="s">
        <v>155</v>
      </c>
      <c r="D306" t="s">
        <v>164</v>
      </c>
      <c r="E306" t="s">
        <v>169</v>
      </c>
      <c r="F306" t="s">
        <v>157</v>
      </c>
      <c r="G306">
        <v>648</v>
      </c>
      <c r="H306" t="s">
        <v>299</v>
      </c>
      <c r="I306">
        <v>425</v>
      </c>
      <c r="J306" t="s">
        <v>185</v>
      </c>
      <c r="K306">
        <v>1</v>
      </c>
      <c r="L306" s="34">
        <v>45692.059027777781</v>
      </c>
      <c r="M306" s="34">
        <v>45692.061805555553</v>
      </c>
      <c r="N306">
        <v>202</v>
      </c>
      <c r="O306">
        <v>84</v>
      </c>
      <c r="P306">
        <v>79</v>
      </c>
      <c r="Q306" s="45">
        <v>47.782998531798704</v>
      </c>
      <c r="R306" t="s">
        <v>75</v>
      </c>
      <c r="S306">
        <v>23</v>
      </c>
    </row>
    <row r="307" spans="1:19">
      <c r="A307">
        <v>2305</v>
      </c>
      <c r="B307">
        <v>3305</v>
      </c>
      <c r="C307" t="s">
        <v>159</v>
      </c>
      <c r="D307" t="s">
        <v>70</v>
      </c>
      <c r="E307" t="s">
        <v>209</v>
      </c>
      <c r="F307" t="s">
        <v>203</v>
      </c>
      <c r="G307">
        <v>113</v>
      </c>
      <c r="H307" t="s">
        <v>284</v>
      </c>
      <c r="I307">
        <v>551</v>
      </c>
      <c r="J307" t="s">
        <v>250</v>
      </c>
      <c r="K307">
        <v>1</v>
      </c>
      <c r="L307" s="34">
        <v>45853.703472222223</v>
      </c>
      <c r="M307" s="34">
        <v>45853.709722222222</v>
      </c>
      <c r="N307">
        <v>561</v>
      </c>
      <c r="O307">
        <v>94</v>
      </c>
      <c r="P307">
        <v>80</v>
      </c>
      <c r="Q307" s="45">
        <v>82.969108249273731</v>
      </c>
      <c r="R307" t="s">
        <v>75</v>
      </c>
      <c r="S307">
        <v>24</v>
      </c>
    </row>
    <row r="308" spans="1:19">
      <c r="A308">
        <v>2306</v>
      </c>
      <c r="B308">
        <v>3306</v>
      </c>
      <c r="C308" t="s">
        <v>190</v>
      </c>
      <c r="D308" t="s">
        <v>186</v>
      </c>
      <c r="E308" t="s">
        <v>275</v>
      </c>
      <c r="F308" t="s">
        <v>263</v>
      </c>
      <c r="G308">
        <v>445</v>
      </c>
      <c r="H308" t="s">
        <v>292</v>
      </c>
      <c r="I308">
        <v>173</v>
      </c>
      <c r="J308" t="s">
        <v>196</v>
      </c>
      <c r="K308">
        <v>2</v>
      </c>
      <c r="L308" s="34">
        <v>45976.630555555559</v>
      </c>
      <c r="M308" s="34">
        <v>45976.631944444445</v>
      </c>
      <c r="N308">
        <v>114</v>
      </c>
      <c r="O308">
        <v>99</v>
      </c>
      <c r="P308">
        <v>51</v>
      </c>
      <c r="Q308" s="45">
        <v>21.477131065947873</v>
      </c>
      <c r="R308" t="s">
        <v>75</v>
      </c>
      <c r="S308">
        <v>5</v>
      </c>
    </row>
    <row r="309" spans="1:19">
      <c r="A309">
        <v>2307</v>
      </c>
      <c r="B309">
        <v>3307</v>
      </c>
      <c r="C309" t="s">
        <v>159</v>
      </c>
      <c r="D309" t="s">
        <v>224</v>
      </c>
      <c r="E309" t="s">
        <v>187</v>
      </c>
      <c r="F309" t="s">
        <v>203</v>
      </c>
      <c r="G309">
        <v>579</v>
      </c>
      <c r="H309" t="s">
        <v>299</v>
      </c>
      <c r="I309">
        <v>761</v>
      </c>
      <c r="J309" t="s">
        <v>238</v>
      </c>
      <c r="K309">
        <v>1</v>
      </c>
      <c r="L309" s="34">
        <v>45797.659722222219</v>
      </c>
      <c r="M309" s="34">
        <v>45797.660416666666</v>
      </c>
      <c r="N309">
        <v>100</v>
      </c>
      <c r="O309">
        <v>47</v>
      </c>
      <c r="P309">
        <v>84</v>
      </c>
      <c r="Q309" s="45">
        <v>31.539733505639703</v>
      </c>
      <c r="R309" t="s">
        <v>82</v>
      </c>
      <c r="S309">
        <v>38</v>
      </c>
    </row>
    <row r="310" spans="1:19">
      <c r="A310">
        <v>2308</v>
      </c>
      <c r="B310">
        <v>3308</v>
      </c>
      <c r="C310" t="s">
        <v>223</v>
      </c>
      <c r="D310" t="s">
        <v>221</v>
      </c>
      <c r="E310" t="s">
        <v>205</v>
      </c>
      <c r="F310" t="s">
        <v>255</v>
      </c>
      <c r="G310">
        <v>878</v>
      </c>
      <c r="H310" t="s">
        <v>298</v>
      </c>
      <c r="I310">
        <v>105</v>
      </c>
      <c r="J310" t="s">
        <v>250</v>
      </c>
      <c r="K310">
        <v>3</v>
      </c>
      <c r="L310" s="34">
        <v>45761.234027777777</v>
      </c>
      <c r="M310" s="34">
        <v>45761.237500000003</v>
      </c>
      <c r="N310">
        <v>333</v>
      </c>
      <c r="O310">
        <v>8</v>
      </c>
      <c r="P310">
        <v>71</v>
      </c>
      <c r="Q310" s="45">
        <v>53.627835729691</v>
      </c>
      <c r="R310" t="s">
        <v>82</v>
      </c>
      <c r="S310">
        <v>14</v>
      </c>
    </row>
    <row r="311" spans="1:19">
      <c r="A311">
        <v>2309</v>
      </c>
      <c r="B311">
        <v>3309</v>
      </c>
      <c r="C311" t="s">
        <v>78</v>
      </c>
      <c r="D311" t="s">
        <v>249</v>
      </c>
      <c r="E311" t="s">
        <v>275</v>
      </c>
      <c r="F311" t="s">
        <v>268</v>
      </c>
      <c r="G311">
        <v>917</v>
      </c>
      <c r="H311" t="s">
        <v>296</v>
      </c>
      <c r="I311">
        <v>726</v>
      </c>
      <c r="J311" t="s">
        <v>171</v>
      </c>
      <c r="K311">
        <v>2</v>
      </c>
      <c r="L311" s="34">
        <v>45763.418749999997</v>
      </c>
      <c r="M311" s="34">
        <v>45763.424305555556</v>
      </c>
      <c r="N311">
        <v>506</v>
      </c>
      <c r="O311">
        <v>84</v>
      </c>
      <c r="P311">
        <v>83</v>
      </c>
      <c r="Q311" s="45">
        <v>100</v>
      </c>
      <c r="R311" t="s">
        <v>75</v>
      </c>
      <c r="S311">
        <v>17</v>
      </c>
    </row>
    <row r="312" spans="1:19">
      <c r="A312">
        <v>2310</v>
      </c>
      <c r="B312">
        <v>3310</v>
      </c>
      <c r="C312" t="s">
        <v>206</v>
      </c>
      <c r="D312" t="s">
        <v>195</v>
      </c>
      <c r="E312" t="s">
        <v>274</v>
      </c>
      <c r="F312" t="s">
        <v>265</v>
      </c>
      <c r="G312">
        <v>381</v>
      </c>
      <c r="H312" t="s">
        <v>300</v>
      </c>
      <c r="I312">
        <v>694</v>
      </c>
      <c r="J312" t="s">
        <v>240</v>
      </c>
      <c r="K312">
        <v>3</v>
      </c>
      <c r="L312" s="34">
        <v>45735.456944444442</v>
      </c>
      <c r="M312" s="34">
        <v>45735.463888888888</v>
      </c>
      <c r="N312">
        <v>592</v>
      </c>
      <c r="O312">
        <v>39</v>
      </c>
      <c r="P312">
        <v>54</v>
      </c>
      <c r="Q312" s="45">
        <v>95.609013913766418</v>
      </c>
      <c r="R312" t="s">
        <v>75</v>
      </c>
      <c r="S312">
        <v>7</v>
      </c>
    </row>
    <row r="313" spans="1:19">
      <c r="A313">
        <v>2311</v>
      </c>
      <c r="B313">
        <v>3311</v>
      </c>
      <c r="C313" t="s">
        <v>172</v>
      </c>
      <c r="D313" t="s">
        <v>70</v>
      </c>
      <c r="E313" t="s">
        <v>275</v>
      </c>
      <c r="F313" t="s">
        <v>181</v>
      </c>
      <c r="G313">
        <v>484</v>
      </c>
      <c r="H313" t="s">
        <v>287</v>
      </c>
      <c r="I313">
        <v>641</v>
      </c>
      <c r="J313" t="s">
        <v>208</v>
      </c>
      <c r="K313">
        <v>2</v>
      </c>
      <c r="L313" s="34">
        <v>45740.844444444447</v>
      </c>
      <c r="M313" s="34">
        <v>45740.849305555559</v>
      </c>
      <c r="N313">
        <v>442</v>
      </c>
      <c r="O313">
        <v>65</v>
      </c>
      <c r="P313">
        <v>86</v>
      </c>
      <c r="Q313" s="45">
        <v>72.856341340121304</v>
      </c>
      <c r="R313" t="s">
        <v>75</v>
      </c>
      <c r="S313">
        <v>7</v>
      </c>
    </row>
    <row r="314" spans="1:19">
      <c r="A314">
        <v>2312</v>
      </c>
      <c r="B314">
        <v>3312</v>
      </c>
      <c r="C314" t="s">
        <v>199</v>
      </c>
      <c r="D314" t="s">
        <v>70</v>
      </c>
      <c r="E314" t="s">
        <v>177</v>
      </c>
      <c r="F314" t="s">
        <v>239</v>
      </c>
      <c r="G314">
        <v>479</v>
      </c>
      <c r="H314" t="s">
        <v>292</v>
      </c>
      <c r="I314">
        <v>203</v>
      </c>
      <c r="J314" t="s">
        <v>231</v>
      </c>
      <c r="K314">
        <v>3</v>
      </c>
      <c r="L314" s="34">
        <v>45813.9</v>
      </c>
      <c r="M314" s="34">
        <v>45813.901388888888</v>
      </c>
      <c r="N314">
        <v>101</v>
      </c>
      <c r="O314">
        <v>56</v>
      </c>
      <c r="P314">
        <v>57</v>
      </c>
      <c r="Q314" s="45">
        <v>21.246386541981281</v>
      </c>
      <c r="R314" t="s">
        <v>75</v>
      </c>
      <c r="S314">
        <v>28</v>
      </c>
    </row>
    <row r="315" spans="1:19">
      <c r="A315">
        <v>2313</v>
      </c>
      <c r="B315">
        <v>3313</v>
      </c>
      <c r="C315" t="s">
        <v>217</v>
      </c>
      <c r="D315" t="s">
        <v>207</v>
      </c>
      <c r="E315" t="s">
        <v>177</v>
      </c>
      <c r="F315" t="s">
        <v>181</v>
      </c>
      <c r="G315">
        <v>237</v>
      </c>
      <c r="H315" t="s">
        <v>277</v>
      </c>
      <c r="I315">
        <v>664</v>
      </c>
      <c r="J315" t="s">
        <v>196</v>
      </c>
      <c r="K315">
        <v>3</v>
      </c>
      <c r="L315" s="34">
        <v>45975.74722222222</v>
      </c>
      <c r="M315" s="34">
        <v>45975.750694444447</v>
      </c>
      <c r="N315">
        <v>291</v>
      </c>
      <c r="O315">
        <v>57</v>
      </c>
      <c r="P315">
        <v>96</v>
      </c>
      <c r="Q315" s="45">
        <v>67.179100462129455</v>
      </c>
      <c r="R315" t="s">
        <v>82</v>
      </c>
      <c r="S315">
        <v>34</v>
      </c>
    </row>
    <row r="316" spans="1:19">
      <c r="A316">
        <v>2314</v>
      </c>
      <c r="B316">
        <v>3314</v>
      </c>
      <c r="C316" t="s">
        <v>227</v>
      </c>
      <c r="D316" t="s">
        <v>207</v>
      </c>
      <c r="E316" t="s">
        <v>275</v>
      </c>
      <c r="F316" t="s">
        <v>255</v>
      </c>
      <c r="G316">
        <v>416</v>
      </c>
      <c r="H316" t="s">
        <v>287</v>
      </c>
      <c r="I316">
        <v>279</v>
      </c>
      <c r="J316" t="s">
        <v>244</v>
      </c>
      <c r="K316">
        <v>1</v>
      </c>
      <c r="L316" s="34">
        <v>45899.63958333333</v>
      </c>
      <c r="M316" s="34">
        <v>45899.643055555556</v>
      </c>
      <c r="N316">
        <v>329</v>
      </c>
      <c r="O316">
        <v>93</v>
      </c>
      <c r="P316">
        <v>73</v>
      </c>
      <c r="Q316" s="45">
        <v>62.978205250717167</v>
      </c>
      <c r="R316" t="s">
        <v>75</v>
      </c>
      <c r="S316">
        <v>41</v>
      </c>
    </row>
    <row r="317" spans="1:19">
      <c r="A317">
        <v>2315</v>
      </c>
      <c r="B317">
        <v>3315</v>
      </c>
      <c r="C317" t="s">
        <v>194</v>
      </c>
      <c r="D317" t="s">
        <v>234</v>
      </c>
      <c r="E317" t="s">
        <v>197</v>
      </c>
      <c r="F317" t="s">
        <v>273</v>
      </c>
      <c r="G317">
        <v>228</v>
      </c>
      <c r="H317" t="s">
        <v>299</v>
      </c>
      <c r="I317">
        <v>836</v>
      </c>
      <c r="J317" t="s">
        <v>246</v>
      </c>
      <c r="K317">
        <v>1</v>
      </c>
      <c r="L317" s="34">
        <v>45767.902777777781</v>
      </c>
      <c r="M317" s="34">
        <v>45767.90625</v>
      </c>
      <c r="N317">
        <v>289</v>
      </c>
      <c r="O317">
        <v>13</v>
      </c>
      <c r="P317">
        <v>62</v>
      </c>
      <c r="Q317" s="45">
        <v>53.569742117470625</v>
      </c>
      <c r="R317" t="s">
        <v>82</v>
      </c>
      <c r="S317">
        <v>8</v>
      </c>
    </row>
    <row r="318" spans="1:19">
      <c r="A318">
        <v>2316</v>
      </c>
      <c r="B318">
        <v>3316</v>
      </c>
      <c r="C318" t="s">
        <v>167</v>
      </c>
      <c r="D318" t="s">
        <v>191</v>
      </c>
      <c r="E318" t="s">
        <v>187</v>
      </c>
      <c r="F318" t="s">
        <v>239</v>
      </c>
      <c r="G318">
        <v>307</v>
      </c>
      <c r="H318" t="s">
        <v>285</v>
      </c>
      <c r="I318">
        <v>465</v>
      </c>
      <c r="J318" t="s">
        <v>179</v>
      </c>
      <c r="K318">
        <v>1</v>
      </c>
      <c r="L318" s="34">
        <v>45659.176388888889</v>
      </c>
      <c r="M318" s="34">
        <v>45659.178472222222</v>
      </c>
      <c r="N318">
        <v>176</v>
      </c>
      <c r="O318">
        <v>63</v>
      </c>
      <c r="P318">
        <v>62</v>
      </c>
      <c r="Q318" s="45">
        <v>43.491798969681327</v>
      </c>
      <c r="R318" t="s">
        <v>75</v>
      </c>
      <c r="S318">
        <v>22</v>
      </c>
    </row>
    <row r="319" spans="1:19">
      <c r="A319">
        <v>2317</v>
      </c>
      <c r="B319">
        <v>3317</v>
      </c>
      <c r="C319" t="s">
        <v>253</v>
      </c>
      <c r="D319" t="s">
        <v>189</v>
      </c>
      <c r="E319" t="s">
        <v>160</v>
      </c>
      <c r="F319" t="s">
        <v>269</v>
      </c>
      <c r="G319">
        <v>132</v>
      </c>
      <c r="H319" t="s">
        <v>281</v>
      </c>
      <c r="I319">
        <v>856</v>
      </c>
      <c r="J319" t="s">
        <v>232</v>
      </c>
      <c r="K319">
        <v>2</v>
      </c>
      <c r="L319" s="34">
        <v>45790.856249999997</v>
      </c>
      <c r="M319" s="34">
        <v>45790.85833333333</v>
      </c>
      <c r="N319">
        <v>204</v>
      </c>
      <c r="O319">
        <v>65</v>
      </c>
      <c r="P319">
        <v>58</v>
      </c>
      <c r="Q319" s="45">
        <v>37.106220172496798</v>
      </c>
      <c r="R319" t="s">
        <v>75</v>
      </c>
      <c r="S319">
        <v>22</v>
      </c>
    </row>
    <row r="320" spans="1:19">
      <c r="A320">
        <v>2318</v>
      </c>
      <c r="B320">
        <v>3318</v>
      </c>
      <c r="C320" t="s">
        <v>245</v>
      </c>
      <c r="D320" t="s">
        <v>180</v>
      </c>
      <c r="E320" t="s">
        <v>177</v>
      </c>
      <c r="F320" t="s">
        <v>271</v>
      </c>
      <c r="G320">
        <v>735</v>
      </c>
      <c r="H320" t="s">
        <v>293</v>
      </c>
      <c r="I320">
        <v>288</v>
      </c>
      <c r="J320" t="s">
        <v>254</v>
      </c>
      <c r="K320">
        <v>1</v>
      </c>
      <c r="L320" s="34">
        <v>45833.37222222222</v>
      </c>
      <c r="M320" s="34">
        <v>45833.375</v>
      </c>
      <c r="N320">
        <v>287</v>
      </c>
      <c r="O320">
        <v>94</v>
      </c>
      <c r="P320">
        <v>90</v>
      </c>
      <c r="Q320" s="45">
        <v>52.025360951818477</v>
      </c>
      <c r="R320" t="s">
        <v>75</v>
      </c>
      <c r="S320">
        <v>7</v>
      </c>
    </row>
    <row r="321" spans="1:19">
      <c r="A321">
        <v>2319</v>
      </c>
      <c r="B321">
        <v>3319</v>
      </c>
      <c r="C321" t="s">
        <v>223</v>
      </c>
      <c r="D321" t="s">
        <v>241</v>
      </c>
      <c r="E321" t="s">
        <v>197</v>
      </c>
      <c r="F321" t="s">
        <v>203</v>
      </c>
      <c r="G321">
        <v>541</v>
      </c>
      <c r="H321" t="s">
        <v>278</v>
      </c>
      <c r="I321">
        <v>911</v>
      </c>
      <c r="J321" t="s">
        <v>235</v>
      </c>
      <c r="K321">
        <v>1</v>
      </c>
      <c r="L321" s="34">
        <v>45864.51666666667</v>
      </c>
      <c r="M321" s="34">
        <v>45864.519444444442</v>
      </c>
      <c r="N321">
        <v>247</v>
      </c>
      <c r="O321">
        <v>6</v>
      </c>
      <c r="P321">
        <v>88</v>
      </c>
      <c r="Q321" s="45">
        <v>45.591782351569556</v>
      </c>
      <c r="R321" t="s">
        <v>82</v>
      </c>
      <c r="S321">
        <v>14</v>
      </c>
    </row>
    <row r="322" spans="1:19">
      <c r="A322">
        <v>2320</v>
      </c>
      <c r="B322">
        <v>3320</v>
      </c>
      <c r="C322" t="s">
        <v>155</v>
      </c>
      <c r="D322" t="s">
        <v>164</v>
      </c>
      <c r="E322" t="s">
        <v>209</v>
      </c>
      <c r="F322" t="s">
        <v>260</v>
      </c>
      <c r="G322">
        <v>302</v>
      </c>
      <c r="H322" t="s">
        <v>286</v>
      </c>
      <c r="I322">
        <v>865</v>
      </c>
      <c r="J322" t="s">
        <v>250</v>
      </c>
      <c r="K322">
        <v>2</v>
      </c>
      <c r="L322" s="34">
        <v>45707.518055555556</v>
      </c>
      <c r="M322" s="34">
        <v>45707.521527777775</v>
      </c>
      <c r="N322">
        <v>317</v>
      </c>
      <c r="O322">
        <v>47</v>
      </c>
      <c r="P322">
        <v>98</v>
      </c>
      <c r="Q322" s="45">
        <v>60.384762710851085</v>
      </c>
      <c r="R322" t="s">
        <v>82</v>
      </c>
      <c r="S322">
        <v>26</v>
      </c>
    </row>
    <row r="323" spans="1:19">
      <c r="A323">
        <v>2321</v>
      </c>
      <c r="B323">
        <v>3321</v>
      </c>
      <c r="C323" t="s">
        <v>163</v>
      </c>
      <c r="D323" t="s">
        <v>261</v>
      </c>
      <c r="E323" t="s">
        <v>187</v>
      </c>
      <c r="F323" t="s">
        <v>260</v>
      </c>
      <c r="G323">
        <v>767</v>
      </c>
      <c r="H323" t="s">
        <v>278</v>
      </c>
      <c r="I323">
        <v>797</v>
      </c>
      <c r="J323" t="s">
        <v>272</v>
      </c>
      <c r="K323">
        <v>2</v>
      </c>
      <c r="L323" s="34">
        <v>45958.659722222219</v>
      </c>
      <c r="M323" s="34">
        <v>45958.661805555559</v>
      </c>
      <c r="N323">
        <v>184</v>
      </c>
      <c r="O323">
        <v>38</v>
      </c>
      <c r="P323">
        <v>83</v>
      </c>
      <c r="Q323" s="45">
        <v>27.970123323305749</v>
      </c>
      <c r="R323" t="s">
        <v>82</v>
      </c>
      <c r="S323">
        <v>14</v>
      </c>
    </row>
    <row r="324" spans="1:19">
      <c r="A324">
        <v>2322</v>
      </c>
      <c r="B324">
        <v>3322</v>
      </c>
      <c r="C324" t="s">
        <v>199</v>
      </c>
      <c r="D324" t="s">
        <v>180</v>
      </c>
      <c r="E324" t="s">
        <v>169</v>
      </c>
      <c r="F324" t="s">
        <v>263</v>
      </c>
      <c r="G324">
        <v>971</v>
      </c>
      <c r="H324" t="s">
        <v>287</v>
      </c>
      <c r="I324">
        <v>505</v>
      </c>
      <c r="J324" t="s">
        <v>204</v>
      </c>
      <c r="K324">
        <v>1</v>
      </c>
      <c r="L324" s="34">
        <v>45897.827777777777</v>
      </c>
      <c r="M324" s="34">
        <v>45897.831944444442</v>
      </c>
      <c r="N324">
        <v>346</v>
      </c>
      <c r="O324">
        <v>99</v>
      </c>
      <c r="P324">
        <v>57</v>
      </c>
      <c r="Q324" s="45">
        <v>59.541941921727464</v>
      </c>
      <c r="R324" t="s">
        <v>75</v>
      </c>
      <c r="S324">
        <v>49</v>
      </c>
    </row>
    <row r="325" spans="1:19">
      <c r="A325">
        <v>2323</v>
      </c>
      <c r="B325">
        <v>3323</v>
      </c>
      <c r="C325" t="s">
        <v>217</v>
      </c>
      <c r="D325" t="s">
        <v>189</v>
      </c>
      <c r="E325" t="s">
        <v>169</v>
      </c>
      <c r="F325" t="s">
        <v>259</v>
      </c>
      <c r="G325">
        <v>954</v>
      </c>
      <c r="H325" t="s">
        <v>289</v>
      </c>
      <c r="I325">
        <v>148</v>
      </c>
      <c r="J325" t="s">
        <v>257</v>
      </c>
      <c r="K325">
        <v>1</v>
      </c>
      <c r="L325" s="34">
        <v>45880.681250000001</v>
      </c>
      <c r="M325" s="34">
        <v>45880.6875</v>
      </c>
      <c r="N325">
        <v>563</v>
      </c>
      <c r="O325">
        <v>60</v>
      </c>
      <c r="P325">
        <v>86</v>
      </c>
      <c r="Q325" s="45">
        <v>100</v>
      </c>
      <c r="R325" t="s">
        <v>75</v>
      </c>
      <c r="S325">
        <v>11</v>
      </c>
    </row>
    <row r="326" spans="1:19">
      <c r="A326">
        <v>2324</v>
      </c>
      <c r="B326">
        <v>3324</v>
      </c>
      <c r="C326" t="s">
        <v>167</v>
      </c>
      <c r="D326" t="s">
        <v>249</v>
      </c>
      <c r="E326" t="s">
        <v>169</v>
      </c>
      <c r="F326" t="s">
        <v>255</v>
      </c>
      <c r="G326">
        <v>671</v>
      </c>
      <c r="H326" t="s">
        <v>282</v>
      </c>
      <c r="I326">
        <v>776</v>
      </c>
      <c r="J326" t="s">
        <v>238</v>
      </c>
      <c r="K326">
        <v>3</v>
      </c>
      <c r="L326" s="34">
        <v>45967.743055555555</v>
      </c>
      <c r="M326" s="34">
        <v>45967.746527777781</v>
      </c>
      <c r="N326">
        <v>323</v>
      </c>
      <c r="O326">
        <v>49</v>
      </c>
      <c r="P326">
        <v>62</v>
      </c>
      <c r="Q326" s="45">
        <v>60.30308595111655</v>
      </c>
      <c r="R326" t="s">
        <v>75</v>
      </c>
      <c r="S326">
        <v>34</v>
      </c>
    </row>
    <row r="327" spans="1:19">
      <c r="A327">
        <v>2325</v>
      </c>
      <c r="B327">
        <v>3325</v>
      </c>
      <c r="C327" t="s">
        <v>194</v>
      </c>
      <c r="D327" t="s">
        <v>234</v>
      </c>
      <c r="E327" t="s">
        <v>205</v>
      </c>
      <c r="F327" t="s">
        <v>268</v>
      </c>
      <c r="G327">
        <v>655</v>
      </c>
      <c r="H327" t="s">
        <v>288</v>
      </c>
      <c r="I327">
        <v>969</v>
      </c>
      <c r="J327" t="s">
        <v>213</v>
      </c>
      <c r="K327">
        <v>3</v>
      </c>
      <c r="L327" s="34">
        <v>45858.834722222222</v>
      </c>
      <c r="M327" s="34">
        <v>45858.839583333334</v>
      </c>
      <c r="N327">
        <v>428</v>
      </c>
      <c r="O327">
        <v>0</v>
      </c>
      <c r="P327">
        <v>98</v>
      </c>
      <c r="Q327" s="45">
        <v>65.583445031009575</v>
      </c>
      <c r="R327" t="s">
        <v>82</v>
      </c>
      <c r="S327">
        <v>22</v>
      </c>
    </row>
    <row r="328" spans="1:19">
      <c r="A328">
        <v>2326</v>
      </c>
      <c r="B328">
        <v>3326</v>
      </c>
      <c r="C328" t="s">
        <v>167</v>
      </c>
      <c r="D328" t="s">
        <v>221</v>
      </c>
      <c r="E328" t="s">
        <v>187</v>
      </c>
      <c r="F328" t="s">
        <v>263</v>
      </c>
      <c r="G328">
        <v>181</v>
      </c>
      <c r="H328" t="s">
        <v>286</v>
      </c>
      <c r="I328">
        <v>248</v>
      </c>
      <c r="J328" t="s">
        <v>166</v>
      </c>
      <c r="K328">
        <v>3</v>
      </c>
      <c r="L328" s="34">
        <v>45864.738194444442</v>
      </c>
      <c r="M328" s="34">
        <v>45864.743055555555</v>
      </c>
      <c r="N328">
        <v>409</v>
      </c>
      <c r="O328">
        <v>39</v>
      </c>
      <c r="P328">
        <v>97</v>
      </c>
      <c r="Q328" s="45">
        <v>67.193699010225274</v>
      </c>
      <c r="R328" t="s">
        <v>82</v>
      </c>
      <c r="S328">
        <v>31</v>
      </c>
    </row>
    <row r="329" spans="1:19">
      <c r="A329">
        <v>2327</v>
      </c>
      <c r="B329">
        <v>3327</v>
      </c>
      <c r="C329" t="s">
        <v>175</v>
      </c>
      <c r="D329" t="s">
        <v>221</v>
      </c>
      <c r="E329" t="s">
        <v>275</v>
      </c>
      <c r="F329" t="s">
        <v>266</v>
      </c>
      <c r="G329">
        <v>586</v>
      </c>
      <c r="H329" t="s">
        <v>294</v>
      </c>
      <c r="I329">
        <v>929</v>
      </c>
      <c r="J329" t="s">
        <v>166</v>
      </c>
      <c r="K329">
        <v>2</v>
      </c>
      <c r="L329" s="34">
        <v>45832.607638888891</v>
      </c>
      <c r="M329" s="34">
        <v>45832.61041666667</v>
      </c>
      <c r="N329">
        <v>215</v>
      </c>
      <c r="O329">
        <v>96</v>
      </c>
      <c r="P329">
        <v>100</v>
      </c>
      <c r="Q329" s="45">
        <v>43.959599907374297</v>
      </c>
      <c r="R329" t="s">
        <v>75</v>
      </c>
      <c r="S329">
        <v>6</v>
      </c>
    </row>
    <row r="330" spans="1:19">
      <c r="A330">
        <v>2328</v>
      </c>
      <c r="B330">
        <v>3328</v>
      </c>
      <c r="C330" t="s">
        <v>190</v>
      </c>
      <c r="D330" t="s">
        <v>176</v>
      </c>
      <c r="E330" t="s">
        <v>197</v>
      </c>
      <c r="F330" t="s">
        <v>273</v>
      </c>
      <c r="G330">
        <v>279</v>
      </c>
      <c r="H330" t="s">
        <v>286</v>
      </c>
      <c r="I330">
        <v>903</v>
      </c>
      <c r="J330" t="s">
        <v>158</v>
      </c>
      <c r="K330">
        <v>2</v>
      </c>
      <c r="L330" s="34">
        <v>45729.702777777777</v>
      </c>
      <c r="M330" s="34">
        <v>45729.705555555556</v>
      </c>
      <c r="N330">
        <v>212</v>
      </c>
      <c r="O330">
        <v>21</v>
      </c>
      <c r="P330">
        <v>71</v>
      </c>
      <c r="Q330" s="45">
        <v>37.173120393134866</v>
      </c>
      <c r="R330" t="s">
        <v>82</v>
      </c>
      <c r="S330">
        <v>44</v>
      </c>
    </row>
    <row r="331" spans="1:19">
      <c r="A331">
        <v>2329</v>
      </c>
      <c r="B331">
        <v>3329</v>
      </c>
      <c r="C331" t="s">
        <v>253</v>
      </c>
      <c r="D331" t="s">
        <v>261</v>
      </c>
      <c r="E331" t="s">
        <v>197</v>
      </c>
      <c r="F331" t="s">
        <v>258</v>
      </c>
      <c r="G331">
        <v>952</v>
      </c>
      <c r="H331" t="s">
        <v>290</v>
      </c>
      <c r="I331">
        <v>995</v>
      </c>
      <c r="J331" t="s">
        <v>233</v>
      </c>
      <c r="K331">
        <v>1</v>
      </c>
      <c r="L331" s="34">
        <v>45983.999305555553</v>
      </c>
      <c r="M331" s="34">
        <v>45984.005555555559</v>
      </c>
      <c r="N331">
        <v>549</v>
      </c>
      <c r="O331">
        <v>42</v>
      </c>
      <c r="P331">
        <v>96</v>
      </c>
      <c r="Q331" s="45">
        <v>90.158333793923759</v>
      </c>
      <c r="R331" t="s">
        <v>82</v>
      </c>
      <c r="S331">
        <v>7</v>
      </c>
    </row>
    <row r="332" spans="1:19">
      <c r="A332">
        <v>2330</v>
      </c>
      <c r="B332">
        <v>3330</v>
      </c>
      <c r="C332" t="s">
        <v>199</v>
      </c>
      <c r="D332" t="s">
        <v>84</v>
      </c>
      <c r="E332" t="s">
        <v>274</v>
      </c>
      <c r="F332" t="s">
        <v>270</v>
      </c>
      <c r="G332">
        <v>578</v>
      </c>
      <c r="H332" t="s">
        <v>296</v>
      </c>
      <c r="I332">
        <v>437</v>
      </c>
      <c r="J332" t="s">
        <v>272</v>
      </c>
      <c r="K332">
        <v>1</v>
      </c>
      <c r="L332" s="34">
        <v>45902.853472222225</v>
      </c>
      <c r="M332" s="34">
        <v>45902.85833333333</v>
      </c>
      <c r="N332">
        <v>428</v>
      </c>
      <c r="O332">
        <v>64</v>
      </c>
      <c r="P332">
        <v>62</v>
      </c>
      <c r="Q332" s="45">
        <v>77.341556904071055</v>
      </c>
      <c r="R332" t="s">
        <v>75</v>
      </c>
      <c r="S332">
        <v>44</v>
      </c>
    </row>
    <row r="333" spans="1:19">
      <c r="A333">
        <v>2331</v>
      </c>
      <c r="B333">
        <v>3331</v>
      </c>
      <c r="C333" t="s">
        <v>217</v>
      </c>
      <c r="D333" t="s">
        <v>191</v>
      </c>
      <c r="E333" t="s">
        <v>187</v>
      </c>
      <c r="F333" t="s">
        <v>263</v>
      </c>
      <c r="G333">
        <v>704</v>
      </c>
      <c r="H333" t="s">
        <v>280</v>
      </c>
      <c r="I333">
        <v>763</v>
      </c>
      <c r="J333" t="s">
        <v>240</v>
      </c>
      <c r="K333">
        <v>1</v>
      </c>
      <c r="L333" s="34">
        <v>45880.737500000003</v>
      </c>
      <c r="M333" s="34">
        <v>45880.741666666669</v>
      </c>
      <c r="N333">
        <v>386</v>
      </c>
      <c r="O333">
        <v>66</v>
      </c>
      <c r="P333">
        <v>86</v>
      </c>
      <c r="Q333" s="45">
        <v>72.037840163481022</v>
      </c>
      <c r="R333" t="s">
        <v>75</v>
      </c>
      <c r="S333">
        <v>34</v>
      </c>
    </row>
    <row r="334" spans="1:19">
      <c r="A334">
        <v>2332</v>
      </c>
      <c r="B334">
        <v>3332</v>
      </c>
      <c r="C334" t="s">
        <v>214</v>
      </c>
      <c r="D334" t="s">
        <v>191</v>
      </c>
      <c r="E334" t="s">
        <v>275</v>
      </c>
      <c r="F334" t="s">
        <v>255</v>
      </c>
      <c r="G334">
        <v>408</v>
      </c>
      <c r="H334" t="s">
        <v>301</v>
      </c>
      <c r="I334">
        <v>332</v>
      </c>
      <c r="J334" t="s">
        <v>208</v>
      </c>
      <c r="K334">
        <v>2</v>
      </c>
      <c r="L334" s="34">
        <v>45978.165277777778</v>
      </c>
      <c r="M334" s="34">
        <v>45978.165972222225</v>
      </c>
      <c r="N334">
        <v>77</v>
      </c>
      <c r="O334">
        <v>23</v>
      </c>
      <c r="P334">
        <v>85</v>
      </c>
      <c r="Q334" s="45">
        <v>20.5874349246814</v>
      </c>
      <c r="R334" t="s">
        <v>82</v>
      </c>
      <c r="S334">
        <v>42</v>
      </c>
    </row>
    <row r="335" spans="1:19">
      <c r="A335">
        <v>2333</v>
      </c>
      <c r="B335">
        <v>3333</v>
      </c>
      <c r="C335" t="s">
        <v>253</v>
      </c>
      <c r="D335" t="s">
        <v>70</v>
      </c>
      <c r="E335" t="s">
        <v>275</v>
      </c>
      <c r="F335" t="s">
        <v>265</v>
      </c>
      <c r="G335">
        <v>224</v>
      </c>
      <c r="H335" t="s">
        <v>276</v>
      </c>
      <c r="I335">
        <v>543</v>
      </c>
      <c r="J335" t="s">
        <v>211</v>
      </c>
      <c r="K335">
        <v>2</v>
      </c>
      <c r="L335" s="34">
        <v>45766.911805555559</v>
      </c>
      <c r="M335" s="34">
        <v>45766.917361111111</v>
      </c>
      <c r="N335">
        <v>515</v>
      </c>
      <c r="O335">
        <v>37</v>
      </c>
      <c r="P335">
        <v>87</v>
      </c>
      <c r="Q335" s="45">
        <v>81.651847535016444</v>
      </c>
      <c r="R335" t="s">
        <v>82</v>
      </c>
      <c r="S335">
        <v>38</v>
      </c>
    </row>
    <row r="336" spans="1:19">
      <c r="A336">
        <v>2334</v>
      </c>
      <c r="B336">
        <v>3334</v>
      </c>
      <c r="C336" t="s">
        <v>253</v>
      </c>
      <c r="D336" t="s">
        <v>186</v>
      </c>
      <c r="E336" t="s">
        <v>205</v>
      </c>
      <c r="F336" t="s">
        <v>181</v>
      </c>
      <c r="G336">
        <v>208</v>
      </c>
      <c r="H336" t="s">
        <v>300</v>
      </c>
      <c r="I336">
        <v>430</v>
      </c>
      <c r="J336" t="s">
        <v>250</v>
      </c>
      <c r="K336">
        <v>1</v>
      </c>
      <c r="L336" s="34">
        <v>45972.291666666664</v>
      </c>
      <c r="M336" s="34">
        <v>45972.294444444444</v>
      </c>
      <c r="N336">
        <v>268</v>
      </c>
      <c r="O336">
        <v>10</v>
      </c>
      <c r="P336">
        <v>80</v>
      </c>
      <c r="Q336" s="45">
        <v>51.492465592663564</v>
      </c>
      <c r="R336" t="s">
        <v>82</v>
      </c>
      <c r="S336">
        <v>35</v>
      </c>
    </row>
    <row r="337" spans="1:19">
      <c r="A337">
        <v>2335</v>
      </c>
      <c r="B337">
        <v>3335</v>
      </c>
      <c r="C337" t="s">
        <v>194</v>
      </c>
      <c r="D337" t="s">
        <v>215</v>
      </c>
      <c r="E337" t="s">
        <v>177</v>
      </c>
      <c r="F337" t="s">
        <v>262</v>
      </c>
      <c r="G337">
        <v>706</v>
      </c>
      <c r="H337" t="s">
        <v>297</v>
      </c>
      <c r="I337">
        <v>957</v>
      </c>
      <c r="J337" t="s">
        <v>220</v>
      </c>
      <c r="K337">
        <v>1</v>
      </c>
      <c r="L337" s="34">
        <v>45842.18472222222</v>
      </c>
      <c r="M337" s="34">
        <v>45842.188194444447</v>
      </c>
      <c r="N337">
        <v>338</v>
      </c>
      <c r="O337">
        <v>9</v>
      </c>
      <c r="P337">
        <v>63</v>
      </c>
      <c r="Q337" s="45">
        <v>63.139370880251498</v>
      </c>
      <c r="R337" t="s">
        <v>82</v>
      </c>
      <c r="S337">
        <v>5</v>
      </c>
    </row>
    <row r="338" spans="1:19">
      <c r="A338">
        <v>2336</v>
      </c>
      <c r="B338">
        <v>3336</v>
      </c>
      <c r="C338" t="s">
        <v>163</v>
      </c>
      <c r="D338" t="s">
        <v>215</v>
      </c>
      <c r="E338" t="s">
        <v>169</v>
      </c>
      <c r="F338" t="s">
        <v>157</v>
      </c>
      <c r="G338">
        <v>829</v>
      </c>
      <c r="H338" t="s">
        <v>277</v>
      </c>
      <c r="I338">
        <v>156</v>
      </c>
      <c r="J338" t="s">
        <v>179</v>
      </c>
      <c r="K338">
        <v>2</v>
      </c>
      <c r="L338" s="34">
        <v>45667.179861111108</v>
      </c>
      <c r="M338" s="34">
        <v>45667.184027777781</v>
      </c>
      <c r="N338">
        <v>342</v>
      </c>
      <c r="O338">
        <v>45</v>
      </c>
      <c r="P338">
        <v>94</v>
      </c>
      <c r="Q338" s="45">
        <v>64.381711558524245</v>
      </c>
      <c r="R338" t="s">
        <v>82</v>
      </c>
      <c r="S338">
        <v>17</v>
      </c>
    </row>
    <row r="339" spans="1:19">
      <c r="A339">
        <v>2337</v>
      </c>
      <c r="B339">
        <v>3337</v>
      </c>
      <c r="C339" t="s">
        <v>159</v>
      </c>
      <c r="D339" t="s">
        <v>191</v>
      </c>
      <c r="E339" t="s">
        <v>169</v>
      </c>
      <c r="F339" t="s">
        <v>273</v>
      </c>
      <c r="G339">
        <v>525</v>
      </c>
      <c r="H339" t="s">
        <v>302</v>
      </c>
      <c r="I339">
        <v>607</v>
      </c>
      <c r="J339" t="s">
        <v>204</v>
      </c>
      <c r="K339">
        <v>3</v>
      </c>
      <c r="L339" s="34">
        <v>45989.95208333333</v>
      </c>
      <c r="M339" s="34">
        <v>45989.956944444442</v>
      </c>
      <c r="N339">
        <v>404</v>
      </c>
      <c r="O339">
        <v>16</v>
      </c>
      <c r="P339">
        <v>62</v>
      </c>
      <c r="Q339" s="45">
        <v>79.776734011133584</v>
      </c>
      <c r="R339" t="s">
        <v>82</v>
      </c>
      <c r="S339">
        <v>38</v>
      </c>
    </row>
    <row r="340" spans="1:19">
      <c r="A340">
        <v>2338</v>
      </c>
      <c r="B340">
        <v>3338</v>
      </c>
      <c r="C340" t="s">
        <v>159</v>
      </c>
      <c r="D340" t="s">
        <v>189</v>
      </c>
      <c r="E340" t="s">
        <v>275</v>
      </c>
      <c r="F340" t="s">
        <v>255</v>
      </c>
      <c r="G340">
        <v>131</v>
      </c>
      <c r="H340" t="s">
        <v>284</v>
      </c>
      <c r="I340">
        <v>128</v>
      </c>
      <c r="J340" t="s">
        <v>230</v>
      </c>
      <c r="K340">
        <v>3</v>
      </c>
      <c r="L340" s="34">
        <v>45819.118750000001</v>
      </c>
      <c r="M340" s="34">
        <v>45819.12222222222</v>
      </c>
      <c r="N340">
        <v>317</v>
      </c>
      <c r="O340">
        <v>86</v>
      </c>
      <c r="P340">
        <v>89</v>
      </c>
      <c r="Q340" s="45">
        <v>63.386904942195059</v>
      </c>
      <c r="R340" t="s">
        <v>75</v>
      </c>
      <c r="S340">
        <v>35</v>
      </c>
    </row>
    <row r="341" spans="1:19">
      <c r="A341">
        <v>2339</v>
      </c>
      <c r="B341">
        <v>3339</v>
      </c>
      <c r="C341" t="s">
        <v>172</v>
      </c>
      <c r="D341" t="s">
        <v>221</v>
      </c>
      <c r="E341" t="s">
        <v>209</v>
      </c>
      <c r="F341" t="s">
        <v>203</v>
      </c>
      <c r="G341">
        <v>969</v>
      </c>
      <c r="H341" t="s">
        <v>294</v>
      </c>
      <c r="I341">
        <v>121</v>
      </c>
      <c r="J341" t="s">
        <v>231</v>
      </c>
      <c r="K341">
        <v>3</v>
      </c>
      <c r="L341" s="34">
        <v>45990.790972222225</v>
      </c>
      <c r="M341" s="34">
        <v>45990.792361111111</v>
      </c>
      <c r="N341">
        <v>64</v>
      </c>
      <c r="O341">
        <v>92</v>
      </c>
      <c r="P341">
        <v>51</v>
      </c>
      <c r="Q341" s="45">
        <v>16.790054199396465</v>
      </c>
      <c r="R341" t="s">
        <v>75</v>
      </c>
      <c r="S341">
        <v>19</v>
      </c>
    </row>
    <row r="342" spans="1:19">
      <c r="A342">
        <v>2340</v>
      </c>
      <c r="B342">
        <v>3340</v>
      </c>
      <c r="C342" t="s">
        <v>183</v>
      </c>
      <c r="D342" t="s">
        <v>261</v>
      </c>
      <c r="E342" t="s">
        <v>187</v>
      </c>
      <c r="F342" t="s">
        <v>259</v>
      </c>
      <c r="G342">
        <v>766</v>
      </c>
      <c r="H342" t="s">
        <v>292</v>
      </c>
      <c r="I342">
        <v>245</v>
      </c>
      <c r="J342" t="s">
        <v>182</v>
      </c>
      <c r="K342">
        <v>3</v>
      </c>
      <c r="L342" s="34">
        <v>45773.845833333333</v>
      </c>
      <c r="M342" s="34">
        <v>45773.852777777778</v>
      </c>
      <c r="N342">
        <v>591</v>
      </c>
      <c r="O342">
        <v>40</v>
      </c>
      <c r="P342">
        <v>87</v>
      </c>
      <c r="Q342" s="45">
        <v>100</v>
      </c>
      <c r="R342" t="s">
        <v>82</v>
      </c>
      <c r="S342">
        <v>12</v>
      </c>
    </row>
    <row r="343" spans="1:19">
      <c r="A343">
        <v>2341</v>
      </c>
      <c r="B343">
        <v>3341</v>
      </c>
      <c r="C343" t="s">
        <v>251</v>
      </c>
      <c r="D343" t="s">
        <v>202</v>
      </c>
      <c r="E343" t="s">
        <v>160</v>
      </c>
      <c r="F343" t="s">
        <v>239</v>
      </c>
      <c r="G343">
        <v>559</v>
      </c>
      <c r="H343" t="s">
        <v>286</v>
      </c>
      <c r="I343">
        <v>978</v>
      </c>
      <c r="J343" t="s">
        <v>233</v>
      </c>
      <c r="K343">
        <v>3</v>
      </c>
      <c r="L343" s="34">
        <v>45791.448611111111</v>
      </c>
      <c r="M343" s="34">
        <v>45791.450694444444</v>
      </c>
      <c r="N343">
        <v>186</v>
      </c>
      <c r="O343">
        <v>70</v>
      </c>
      <c r="P343">
        <v>75</v>
      </c>
      <c r="Q343" s="45">
        <v>42.119983894679088</v>
      </c>
      <c r="R343" t="s">
        <v>75</v>
      </c>
      <c r="S343">
        <v>32</v>
      </c>
    </row>
    <row r="344" spans="1:19">
      <c r="A344">
        <v>2342</v>
      </c>
      <c r="B344">
        <v>3342</v>
      </c>
      <c r="C344" t="s">
        <v>194</v>
      </c>
      <c r="D344" t="s">
        <v>156</v>
      </c>
      <c r="E344" t="s">
        <v>275</v>
      </c>
      <c r="F344" t="s">
        <v>271</v>
      </c>
      <c r="G344">
        <v>127</v>
      </c>
      <c r="H344" t="s">
        <v>302</v>
      </c>
      <c r="I344">
        <v>508</v>
      </c>
      <c r="J344" t="s">
        <v>236</v>
      </c>
      <c r="K344">
        <v>3</v>
      </c>
      <c r="L344" s="34">
        <v>45679.304861111108</v>
      </c>
      <c r="M344" s="34">
        <v>45679.305555555555</v>
      </c>
      <c r="N344">
        <v>91</v>
      </c>
      <c r="O344">
        <v>100</v>
      </c>
      <c r="P344">
        <v>72</v>
      </c>
      <c r="Q344" s="45">
        <v>33.761595129181011</v>
      </c>
      <c r="R344" t="s">
        <v>75</v>
      </c>
      <c r="S344">
        <v>17</v>
      </c>
    </row>
    <row r="345" spans="1:19">
      <c r="A345">
        <v>2343</v>
      </c>
      <c r="B345">
        <v>3343</v>
      </c>
      <c r="C345" t="s">
        <v>217</v>
      </c>
      <c r="D345" t="s">
        <v>164</v>
      </c>
      <c r="E345" t="s">
        <v>187</v>
      </c>
      <c r="F345" t="s">
        <v>266</v>
      </c>
      <c r="G345">
        <v>325</v>
      </c>
      <c r="H345" t="s">
        <v>278</v>
      </c>
      <c r="I345">
        <v>362</v>
      </c>
      <c r="J345" t="s">
        <v>220</v>
      </c>
      <c r="K345">
        <v>2</v>
      </c>
      <c r="L345" s="34">
        <v>45771.960416666669</v>
      </c>
      <c r="M345" s="34">
        <v>45771.966666666667</v>
      </c>
      <c r="N345">
        <v>510</v>
      </c>
      <c r="O345">
        <v>74</v>
      </c>
      <c r="P345">
        <v>65</v>
      </c>
      <c r="Q345" s="45">
        <v>94.435195752090735</v>
      </c>
      <c r="R345" t="s">
        <v>75</v>
      </c>
      <c r="S345">
        <v>26</v>
      </c>
    </row>
    <row r="346" spans="1:19">
      <c r="A346">
        <v>2344</v>
      </c>
      <c r="B346">
        <v>3344</v>
      </c>
      <c r="C346" t="s">
        <v>217</v>
      </c>
      <c r="D346" t="s">
        <v>224</v>
      </c>
      <c r="E346" t="s">
        <v>274</v>
      </c>
      <c r="F346" t="s">
        <v>181</v>
      </c>
      <c r="G346">
        <v>189</v>
      </c>
      <c r="H346" t="s">
        <v>286</v>
      </c>
      <c r="I346">
        <v>468</v>
      </c>
      <c r="J346" t="s">
        <v>233</v>
      </c>
      <c r="K346">
        <v>2</v>
      </c>
      <c r="L346" s="34">
        <v>45957.609027777777</v>
      </c>
      <c r="M346" s="34">
        <v>45957.613194444442</v>
      </c>
      <c r="N346">
        <v>354</v>
      </c>
      <c r="O346">
        <v>69</v>
      </c>
      <c r="P346">
        <v>89</v>
      </c>
      <c r="Q346" s="45">
        <v>67.755422409903346</v>
      </c>
      <c r="R346" t="s">
        <v>75</v>
      </c>
      <c r="S346">
        <v>26</v>
      </c>
    </row>
    <row r="347" spans="1:19">
      <c r="A347">
        <v>2345</v>
      </c>
      <c r="B347">
        <v>3345</v>
      </c>
      <c r="C347" t="s">
        <v>167</v>
      </c>
      <c r="D347" t="s">
        <v>215</v>
      </c>
      <c r="E347" t="s">
        <v>275</v>
      </c>
      <c r="F347" t="s">
        <v>259</v>
      </c>
      <c r="G347">
        <v>733</v>
      </c>
      <c r="H347" t="s">
        <v>302</v>
      </c>
      <c r="I347">
        <v>380</v>
      </c>
      <c r="J347" t="s">
        <v>231</v>
      </c>
      <c r="K347">
        <v>3</v>
      </c>
      <c r="L347" s="34">
        <v>45791.556250000001</v>
      </c>
      <c r="M347" s="34">
        <v>45791.556944444441</v>
      </c>
      <c r="N347">
        <v>61</v>
      </c>
      <c r="O347">
        <v>28</v>
      </c>
      <c r="P347">
        <v>52</v>
      </c>
      <c r="Q347" s="45">
        <v>19.430017957597716</v>
      </c>
      <c r="R347" t="s">
        <v>82</v>
      </c>
      <c r="S347">
        <v>20</v>
      </c>
    </row>
    <row r="348" spans="1:19">
      <c r="A348">
        <v>2346</v>
      </c>
      <c r="B348">
        <v>3346</v>
      </c>
      <c r="C348" t="s">
        <v>194</v>
      </c>
      <c r="D348" t="s">
        <v>186</v>
      </c>
      <c r="E348" t="s">
        <v>177</v>
      </c>
      <c r="F348" t="s">
        <v>266</v>
      </c>
      <c r="G348">
        <v>136</v>
      </c>
      <c r="H348" t="s">
        <v>295</v>
      </c>
      <c r="I348">
        <v>784</v>
      </c>
      <c r="J348" t="s">
        <v>201</v>
      </c>
      <c r="K348">
        <v>1</v>
      </c>
      <c r="L348" s="34">
        <v>45762.575694444444</v>
      </c>
      <c r="M348" s="34">
        <v>45762.581944444442</v>
      </c>
      <c r="N348">
        <v>553</v>
      </c>
      <c r="O348">
        <v>54</v>
      </c>
      <c r="P348">
        <v>77</v>
      </c>
      <c r="Q348" s="45">
        <v>100</v>
      </c>
      <c r="R348" t="s">
        <v>75</v>
      </c>
      <c r="S348">
        <v>29</v>
      </c>
    </row>
    <row r="349" spans="1:19">
      <c r="A349">
        <v>2347</v>
      </c>
      <c r="B349">
        <v>3347</v>
      </c>
      <c r="C349" t="s">
        <v>183</v>
      </c>
      <c r="D349" t="s">
        <v>156</v>
      </c>
      <c r="E349" t="s">
        <v>205</v>
      </c>
      <c r="F349" t="s">
        <v>203</v>
      </c>
      <c r="G349">
        <v>924</v>
      </c>
      <c r="H349" t="s">
        <v>283</v>
      </c>
      <c r="I349">
        <v>399</v>
      </c>
      <c r="J349" t="s">
        <v>179</v>
      </c>
      <c r="K349">
        <v>1</v>
      </c>
      <c r="L349" s="34">
        <v>45731.987500000003</v>
      </c>
      <c r="M349" s="34">
        <v>45731.992361111108</v>
      </c>
      <c r="N349">
        <v>426</v>
      </c>
      <c r="O349">
        <v>49</v>
      </c>
      <c r="P349">
        <v>72</v>
      </c>
      <c r="Q349" s="45">
        <v>65.501449521754708</v>
      </c>
      <c r="R349" t="s">
        <v>75</v>
      </c>
      <c r="S349">
        <v>48</v>
      </c>
    </row>
    <row r="350" spans="1:19">
      <c r="A350">
        <v>2348</v>
      </c>
      <c r="B350">
        <v>3348</v>
      </c>
      <c r="C350" t="s">
        <v>206</v>
      </c>
      <c r="D350" t="s">
        <v>84</v>
      </c>
      <c r="E350" t="s">
        <v>187</v>
      </c>
      <c r="F350" t="s">
        <v>157</v>
      </c>
      <c r="G350">
        <v>884</v>
      </c>
      <c r="H350" t="s">
        <v>300</v>
      </c>
      <c r="I350">
        <v>592</v>
      </c>
      <c r="J350" t="s">
        <v>257</v>
      </c>
      <c r="K350">
        <v>3</v>
      </c>
      <c r="L350" s="34">
        <v>45700.288194444445</v>
      </c>
      <c r="M350" s="34">
        <v>45700.292361111111</v>
      </c>
      <c r="N350">
        <v>336</v>
      </c>
      <c r="O350">
        <v>43</v>
      </c>
      <c r="P350">
        <v>74</v>
      </c>
      <c r="Q350" s="45">
        <v>62.388386759468574</v>
      </c>
      <c r="R350" t="s">
        <v>82</v>
      </c>
      <c r="S350">
        <v>42</v>
      </c>
    </row>
    <row r="351" spans="1:19">
      <c r="A351">
        <v>2349</v>
      </c>
      <c r="B351">
        <v>3349</v>
      </c>
      <c r="C351" t="s">
        <v>159</v>
      </c>
      <c r="D351" t="s">
        <v>241</v>
      </c>
      <c r="E351" t="s">
        <v>197</v>
      </c>
      <c r="F351" t="s">
        <v>269</v>
      </c>
      <c r="G351">
        <v>909</v>
      </c>
      <c r="H351" t="s">
        <v>285</v>
      </c>
      <c r="I351">
        <v>834</v>
      </c>
      <c r="J351" t="s">
        <v>185</v>
      </c>
      <c r="K351">
        <v>1</v>
      </c>
      <c r="L351" s="34">
        <v>45721.45416666667</v>
      </c>
      <c r="M351" s="34">
        <v>45721.457638888889</v>
      </c>
      <c r="N351">
        <v>294</v>
      </c>
      <c r="O351">
        <v>29</v>
      </c>
      <c r="P351">
        <v>77</v>
      </c>
      <c r="Q351" s="45">
        <v>48.731776702344185</v>
      </c>
      <c r="R351" t="s">
        <v>82</v>
      </c>
      <c r="S351">
        <v>27</v>
      </c>
    </row>
    <row r="352" spans="1:19">
      <c r="A352">
        <v>2350</v>
      </c>
      <c r="B352">
        <v>3350</v>
      </c>
      <c r="C352" t="s">
        <v>183</v>
      </c>
      <c r="D352" t="s">
        <v>84</v>
      </c>
      <c r="E352" t="s">
        <v>169</v>
      </c>
      <c r="F352" t="s">
        <v>259</v>
      </c>
      <c r="G352">
        <v>897</v>
      </c>
      <c r="H352" t="s">
        <v>303</v>
      </c>
      <c r="I352">
        <v>665</v>
      </c>
      <c r="J352" t="s">
        <v>171</v>
      </c>
      <c r="K352">
        <v>3</v>
      </c>
      <c r="L352" s="34">
        <v>45749.727777777778</v>
      </c>
      <c r="M352" s="34">
        <v>45749.729166666664</v>
      </c>
      <c r="N352">
        <v>105</v>
      </c>
      <c r="O352">
        <v>50</v>
      </c>
      <c r="P352">
        <v>51</v>
      </c>
      <c r="Q352" s="45">
        <v>23.568268442613949</v>
      </c>
      <c r="R352" t="s">
        <v>75</v>
      </c>
      <c r="S352">
        <v>47</v>
      </c>
    </row>
    <row r="353" spans="1:19">
      <c r="A353">
        <v>2351</v>
      </c>
      <c r="B353">
        <v>3351</v>
      </c>
      <c r="C353" t="s">
        <v>223</v>
      </c>
      <c r="D353" t="s">
        <v>207</v>
      </c>
      <c r="E353" t="s">
        <v>177</v>
      </c>
      <c r="F353" t="s">
        <v>258</v>
      </c>
      <c r="G353">
        <v>965</v>
      </c>
      <c r="H353" t="s">
        <v>279</v>
      </c>
      <c r="I353">
        <v>519</v>
      </c>
      <c r="J353" t="s">
        <v>257</v>
      </c>
      <c r="K353">
        <v>2</v>
      </c>
      <c r="L353" s="34">
        <v>45897.737500000003</v>
      </c>
      <c r="M353" s="34">
        <v>45897.739583333336</v>
      </c>
      <c r="N353">
        <v>156</v>
      </c>
      <c r="O353">
        <v>88</v>
      </c>
      <c r="P353">
        <v>81</v>
      </c>
      <c r="Q353" s="45">
        <v>34.921528546516136</v>
      </c>
      <c r="R353" t="s">
        <v>75</v>
      </c>
      <c r="S353">
        <v>48</v>
      </c>
    </row>
    <row r="354" spans="1:19">
      <c r="A354">
        <v>2352</v>
      </c>
      <c r="B354">
        <v>3352</v>
      </c>
      <c r="C354" t="s">
        <v>183</v>
      </c>
      <c r="D354" t="s">
        <v>84</v>
      </c>
      <c r="E354" t="s">
        <v>160</v>
      </c>
      <c r="F354" t="s">
        <v>267</v>
      </c>
      <c r="G354">
        <v>113</v>
      </c>
      <c r="H354" t="s">
        <v>302</v>
      </c>
      <c r="I354">
        <v>972</v>
      </c>
      <c r="J354" t="s">
        <v>166</v>
      </c>
      <c r="K354">
        <v>1</v>
      </c>
      <c r="L354" s="34">
        <v>45732.021527777775</v>
      </c>
      <c r="M354" s="34">
        <v>45732.025694444441</v>
      </c>
      <c r="N354">
        <v>325</v>
      </c>
      <c r="O354">
        <v>83</v>
      </c>
      <c r="P354">
        <v>96</v>
      </c>
      <c r="Q354" s="45">
        <v>63.862887757770366</v>
      </c>
      <c r="R354" t="s">
        <v>75</v>
      </c>
      <c r="S354">
        <v>41</v>
      </c>
    </row>
    <row r="355" spans="1:19">
      <c r="A355">
        <v>2353</v>
      </c>
      <c r="B355">
        <v>3353</v>
      </c>
      <c r="C355" t="s">
        <v>206</v>
      </c>
      <c r="D355" t="s">
        <v>180</v>
      </c>
      <c r="E355" t="s">
        <v>177</v>
      </c>
      <c r="F355" t="s">
        <v>256</v>
      </c>
      <c r="G355">
        <v>413</v>
      </c>
      <c r="H355" t="s">
        <v>284</v>
      </c>
      <c r="I355">
        <v>551</v>
      </c>
      <c r="J355" t="s">
        <v>254</v>
      </c>
      <c r="K355">
        <v>3</v>
      </c>
      <c r="L355" s="34">
        <v>45685.009027777778</v>
      </c>
      <c r="M355" s="34">
        <v>45685.015277777777</v>
      </c>
      <c r="N355">
        <v>553</v>
      </c>
      <c r="O355">
        <v>89</v>
      </c>
      <c r="P355">
        <v>54</v>
      </c>
      <c r="Q355" s="45">
        <v>89.767311501754691</v>
      </c>
      <c r="R355" t="s">
        <v>75</v>
      </c>
      <c r="S355">
        <v>18</v>
      </c>
    </row>
    <row r="356" spans="1:19">
      <c r="A356">
        <v>2354</v>
      </c>
      <c r="B356">
        <v>3354</v>
      </c>
      <c r="C356" t="s">
        <v>214</v>
      </c>
      <c r="D356" t="s">
        <v>70</v>
      </c>
      <c r="E356" t="s">
        <v>169</v>
      </c>
      <c r="F356" t="s">
        <v>263</v>
      </c>
      <c r="G356">
        <v>378</v>
      </c>
      <c r="H356" t="s">
        <v>299</v>
      </c>
      <c r="I356">
        <v>441</v>
      </c>
      <c r="J356" t="s">
        <v>185</v>
      </c>
      <c r="K356">
        <v>2</v>
      </c>
      <c r="L356" s="34">
        <v>45732.168055555558</v>
      </c>
      <c r="M356" s="34">
        <v>45732.168749999997</v>
      </c>
      <c r="N356">
        <v>94</v>
      </c>
      <c r="O356">
        <v>19</v>
      </c>
      <c r="P356">
        <v>96</v>
      </c>
      <c r="Q356" s="45">
        <v>25.133277958509431</v>
      </c>
      <c r="R356" t="s">
        <v>82</v>
      </c>
      <c r="S356">
        <v>47</v>
      </c>
    </row>
    <row r="357" spans="1:19">
      <c r="A357">
        <v>2355</v>
      </c>
      <c r="B357">
        <v>3355</v>
      </c>
      <c r="C357" t="s">
        <v>175</v>
      </c>
      <c r="D357" t="s">
        <v>221</v>
      </c>
      <c r="E357" t="s">
        <v>209</v>
      </c>
      <c r="F357" t="s">
        <v>258</v>
      </c>
      <c r="G357">
        <v>396</v>
      </c>
      <c r="H357" t="s">
        <v>288</v>
      </c>
      <c r="I357">
        <v>581</v>
      </c>
      <c r="J357" t="s">
        <v>198</v>
      </c>
      <c r="K357">
        <v>2</v>
      </c>
      <c r="L357" s="34">
        <v>45949.683333333334</v>
      </c>
      <c r="M357" s="34">
        <v>45949.686805555553</v>
      </c>
      <c r="N357">
        <v>300</v>
      </c>
      <c r="O357">
        <v>70</v>
      </c>
      <c r="P357">
        <v>65</v>
      </c>
      <c r="Q357" s="45">
        <v>66.343549651344631</v>
      </c>
      <c r="R357" t="s">
        <v>75</v>
      </c>
      <c r="S357">
        <v>43</v>
      </c>
    </row>
    <row r="358" spans="1:19">
      <c r="A358">
        <v>2356</v>
      </c>
      <c r="B358">
        <v>3356</v>
      </c>
      <c r="C358" t="s">
        <v>172</v>
      </c>
      <c r="D358" t="s">
        <v>191</v>
      </c>
      <c r="E358" t="s">
        <v>205</v>
      </c>
      <c r="F358" t="s">
        <v>260</v>
      </c>
      <c r="G358">
        <v>942</v>
      </c>
      <c r="H358" t="s">
        <v>293</v>
      </c>
      <c r="I358">
        <v>511</v>
      </c>
      <c r="J358" t="s">
        <v>244</v>
      </c>
      <c r="K358">
        <v>3</v>
      </c>
      <c r="L358" s="34">
        <v>45896.679166666669</v>
      </c>
      <c r="M358" s="34">
        <v>45896.681250000001</v>
      </c>
      <c r="N358">
        <v>159</v>
      </c>
      <c r="O358">
        <v>5</v>
      </c>
      <c r="P358">
        <v>87</v>
      </c>
      <c r="Q358" s="45">
        <v>28.831394031905486</v>
      </c>
      <c r="R358" t="s">
        <v>82</v>
      </c>
      <c r="S358">
        <v>33</v>
      </c>
    </row>
    <row r="359" spans="1:19">
      <c r="A359">
        <v>2357</v>
      </c>
      <c r="B359">
        <v>3357</v>
      </c>
      <c r="C359" t="s">
        <v>190</v>
      </c>
      <c r="D359" t="s">
        <v>202</v>
      </c>
      <c r="E359" t="s">
        <v>275</v>
      </c>
      <c r="F359" t="s">
        <v>266</v>
      </c>
      <c r="G359">
        <v>744</v>
      </c>
      <c r="H359" t="s">
        <v>277</v>
      </c>
      <c r="I359">
        <v>847</v>
      </c>
      <c r="J359" t="s">
        <v>247</v>
      </c>
      <c r="K359">
        <v>2</v>
      </c>
      <c r="L359" s="34">
        <v>45785.489583333336</v>
      </c>
      <c r="M359" s="34">
        <v>45785.491666666669</v>
      </c>
      <c r="N359">
        <v>160</v>
      </c>
      <c r="O359">
        <v>27</v>
      </c>
      <c r="P359">
        <v>82</v>
      </c>
      <c r="Q359" s="45">
        <v>37.140189163904843</v>
      </c>
      <c r="R359" t="s">
        <v>82</v>
      </c>
      <c r="S359">
        <v>22</v>
      </c>
    </row>
    <row r="360" spans="1:19">
      <c r="A360">
        <v>2358</v>
      </c>
      <c r="B360">
        <v>3358</v>
      </c>
      <c r="C360" t="s">
        <v>206</v>
      </c>
      <c r="D360" t="s">
        <v>180</v>
      </c>
      <c r="E360" t="s">
        <v>177</v>
      </c>
      <c r="F360" t="s">
        <v>263</v>
      </c>
      <c r="G360">
        <v>292</v>
      </c>
      <c r="H360" t="s">
        <v>284</v>
      </c>
      <c r="I360">
        <v>792</v>
      </c>
      <c r="J360" t="s">
        <v>218</v>
      </c>
      <c r="K360">
        <v>3</v>
      </c>
      <c r="L360" s="34">
        <v>45721.192361111112</v>
      </c>
      <c r="M360" s="34">
        <v>45721.197916666664</v>
      </c>
      <c r="N360">
        <v>517</v>
      </c>
      <c r="O360">
        <v>2</v>
      </c>
      <c r="P360">
        <v>99</v>
      </c>
      <c r="Q360" s="45">
        <v>96.222607945808051</v>
      </c>
      <c r="R360" t="s">
        <v>82</v>
      </c>
      <c r="S360">
        <v>37</v>
      </c>
    </row>
    <row r="361" spans="1:19">
      <c r="A361">
        <v>2359</v>
      </c>
      <c r="B361">
        <v>3359</v>
      </c>
      <c r="C361" t="s">
        <v>227</v>
      </c>
      <c r="D361" t="s">
        <v>84</v>
      </c>
      <c r="E361" t="s">
        <v>209</v>
      </c>
      <c r="F361" t="s">
        <v>268</v>
      </c>
      <c r="G361">
        <v>325</v>
      </c>
      <c r="H361" t="s">
        <v>280</v>
      </c>
      <c r="I361">
        <v>768</v>
      </c>
      <c r="J361" t="s">
        <v>174</v>
      </c>
      <c r="K361">
        <v>1</v>
      </c>
      <c r="L361" s="34">
        <v>45892.174305555556</v>
      </c>
      <c r="M361" s="34">
        <v>45892.177777777775</v>
      </c>
      <c r="N361">
        <v>344</v>
      </c>
      <c r="O361">
        <v>35</v>
      </c>
      <c r="P361">
        <v>96</v>
      </c>
      <c r="Q361" s="45">
        <v>61.375435410829667</v>
      </c>
      <c r="R361" t="s">
        <v>82</v>
      </c>
      <c r="S361">
        <v>34</v>
      </c>
    </row>
    <row r="362" spans="1:19">
      <c r="A362">
        <v>2360</v>
      </c>
      <c r="B362">
        <v>3360</v>
      </c>
      <c r="C362" t="s">
        <v>172</v>
      </c>
      <c r="D362" t="s">
        <v>180</v>
      </c>
      <c r="E362" t="s">
        <v>275</v>
      </c>
      <c r="F362" t="s">
        <v>269</v>
      </c>
      <c r="G362">
        <v>157</v>
      </c>
      <c r="H362" t="s">
        <v>277</v>
      </c>
      <c r="I362">
        <v>528</v>
      </c>
      <c r="J362" t="s">
        <v>204</v>
      </c>
      <c r="K362">
        <v>3</v>
      </c>
      <c r="L362" s="34">
        <v>45861.380555555559</v>
      </c>
      <c r="M362" s="34">
        <v>45861.384027777778</v>
      </c>
      <c r="N362">
        <v>306</v>
      </c>
      <c r="O362">
        <v>48</v>
      </c>
      <c r="P362">
        <v>91</v>
      </c>
      <c r="Q362" s="45">
        <v>61.648539906421334</v>
      </c>
      <c r="R362" t="s">
        <v>82</v>
      </c>
      <c r="S362">
        <v>30</v>
      </c>
    </row>
    <row r="363" spans="1:19">
      <c r="A363">
        <v>2361</v>
      </c>
      <c r="B363">
        <v>3361</v>
      </c>
      <c r="C363" t="s">
        <v>253</v>
      </c>
      <c r="D363" t="s">
        <v>221</v>
      </c>
      <c r="E363" t="s">
        <v>160</v>
      </c>
      <c r="F363" t="s">
        <v>262</v>
      </c>
      <c r="G363">
        <v>110</v>
      </c>
      <c r="H363" t="s">
        <v>283</v>
      </c>
      <c r="I363">
        <v>902</v>
      </c>
      <c r="J363" t="s">
        <v>222</v>
      </c>
      <c r="K363">
        <v>2</v>
      </c>
      <c r="L363" s="34">
        <v>45745.556250000001</v>
      </c>
      <c r="M363" s="34">
        <v>45745.560416666667</v>
      </c>
      <c r="N363">
        <v>327</v>
      </c>
      <c r="O363">
        <v>24</v>
      </c>
      <c r="P363">
        <v>91</v>
      </c>
      <c r="Q363" s="45">
        <v>55.856910653008839</v>
      </c>
      <c r="R363" t="s">
        <v>82</v>
      </c>
      <c r="S363">
        <v>7</v>
      </c>
    </row>
    <row r="364" spans="1:19">
      <c r="A364">
        <v>2362</v>
      </c>
      <c r="B364">
        <v>3362</v>
      </c>
      <c r="C364" t="s">
        <v>190</v>
      </c>
      <c r="D364" t="s">
        <v>249</v>
      </c>
      <c r="E364" t="s">
        <v>177</v>
      </c>
      <c r="F364" t="s">
        <v>267</v>
      </c>
      <c r="G364">
        <v>181</v>
      </c>
      <c r="H364" t="s">
        <v>278</v>
      </c>
      <c r="I364">
        <v>436</v>
      </c>
      <c r="J364" t="s">
        <v>204</v>
      </c>
      <c r="K364">
        <v>1</v>
      </c>
      <c r="L364" s="34">
        <v>45911.288888888892</v>
      </c>
      <c r="M364" s="34">
        <v>45911.290972222225</v>
      </c>
      <c r="N364">
        <v>190</v>
      </c>
      <c r="O364">
        <v>32</v>
      </c>
      <c r="P364">
        <v>81</v>
      </c>
      <c r="Q364" s="45">
        <v>41.794199393960291</v>
      </c>
      <c r="R364" t="s">
        <v>82</v>
      </c>
      <c r="S364">
        <v>37</v>
      </c>
    </row>
    <row r="365" spans="1:19">
      <c r="A365">
        <v>2363</v>
      </c>
      <c r="B365">
        <v>3363</v>
      </c>
      <c r="C365" t="s">
        <v>245</v>
      </c>
      <c r="D365" t="s">
        <v>195</v>
      </c>
      <c r="E365" t="s">
        <v>160</v>
      </c>
      <c r="F365" t="s">
        <v>262</v>
      </c>
      <c r="G365">
        <v>793</v>
      </c>
      <c r="H365" t="s">
        <v>289</v>
      </c>
      <c r="I365">
        <v>450</v>
      </c>
      <c r="J365" t="s">
        <v>264</v>
      </c>
      <c r="K365">
        <v>1</v>
      </c>
      <c r="L365" s="34">
        <v>45926.328472222223</v>
      </c>
      <c r="M365" s="34">
        <v>45926.333333333336</v>
      </c>
      <c r="N365">
        <v>417</v>
      </c>
      <c r="O365">
        <v>4</v>
      </c>
      <c r="P365">
        <v>92</v>
      </c>
      <c r="Q365" s="45">
        <v>67.535792773865651</v>
      </c>
      <c r="R365" t="s">
        <v>82</v>
      </c>
      <c r="S365">
        <v>36</v>
      </c>
    </row>
    <row r="366" spans="1:19">
      <c r="A366">
        <v>2364</v>
      </c>
      <c r="B366">
        <v>3364</v>
      </c>
      <c r="C366" t="s">
        <v>253</v>
      </c>
      <c r="D366" t="s">
        <v>202</v>
      </c>
      <c r="E366" t="s">
        <v>187</v>
      </c>
      <c r="F366" t="s">
        <v>260</v>
      </c>
      <c r="G366">
        <v>724</v>
      </c>
      <c r="H366" t="s">
        <v>279</v>
      </c>
      <c r="I366">
        <v>693</v>
      </c>
      <c r="J366" t="s">
        <v>204</v>
      </c>
      <c r="K366">
        <v>2</v>
      </c>
      <c r="L366" s="34">
        <v>45840.839583333334</v>
      </c>
      <c r="M366" s="34">
        <v>45840.842361111114</v>
      </c>
      <c r="N366">
        <v>216</v>
      </c>
      <c r="O366">
        <v>100</v>
      </c>
      <c r="P366">
        <v>78</v>
      </c>
      <c r="Q366" s="45">
        <v>45.161858375456674</v>
      </c>
      <c r="R366" t="s">
        <v>75</v>
      </c>
      <c r="S366">
        <v>7</v>
      </c>
    </row>
    <row r="367" spans="1:19">
      <c r="A367">
        <v>2365</v>
      </c>
      <c r="B367">
        <v>3365</v>
      </c>
      <c r="C367" t="s">
        <v>214</v>
      </c>
      <c r="D367" t="s">
        <v>202</v>
      </c>
      <c r="E367" t="s">
        <v>160</v>
      </c>
      <c r="F367" t="s">
        <v>239</v>
      </c>
      <c r="G367">
        <v>559</v>
      </c>
      <c r="H367" t="s">
        <v>288</v>
      </c>
      <c r="I367">
        <v>670</v>
      </c>
      <c r="J367" t="s">
        <v>247</v>
      </c>
      <c r="K367">
        <v>3</v>
      </c>
      <c r="L367" s="34">
        <v>45737.205555555556</v>
      </c>
      <c r="M367" s="34">
        <v>45737.210416666669</v>
      </c>
      <c r="N367">
        <v>453</v>
      </c>
      <c r="O367">
        <v>47</v>
      </c>
      <c r="P367">
        <v>93</v>
      </c>
      <c r="Q367" s="45">
        <v>73.245218664759363</v>
      </c>
      <c r="R367" t="s">
        <v>82</v>
      </c>
      <c r="S367">
        <v>6</v>
      </c>
    </row>
    <row r="368" spans="1:19">
      <c r="A368">
        <v>2366</v>
      </c>
      <c r="B368">
        <v>3366</v>
      </c>
      <c r="C368" t="s">
        <v>217</v>
      </c>
      <c r="D368" t="s">
        <v>195</v>
      </c>
      <c r="E368" t="s">
        <v>177</v>
      </c>
      <c r="F368" t="s">
        <v>265</v>
      </c>
      <c r="G368">
        <v>159</v>
      </c>
      <c r="H368" t="s">
        <v>282</v>
      </c>
      <c r="I368">
        <v>529</v>
      </c>
      <c r="J368" t="s">
        <v>235</v>
      </c>
      <c r="K368">
        <v>3</v>
      </c>
      <c r="L368" s="34">
        <v>45857.037499999999</v>
      </c>
      <c r="M368" s="34">
        <v>45857.039583333331</v>
      </c>
      <c r="N368">
        <v>197</v>
      </c>
      <c r="O368">
        <v>8</v>
      </c>
      <c r="P368">
        <v>96</v>
      </c>
      <c r="Q368" s="45">
        <v>48.565650797360121</v>
      </c>
      <c r="R368" t="s">
        <v>82</v>
      </c>
      <c r="S368">
        <v>13</v>
      </c>
    </row>
    <row r="369" spans="1:19">
      <c r="A369">
        <v>2367</v>
      </c>
      <c r="B369">
        <v>3367</v>
      </c>
      <c r="C369" t="s">
        <v>194</v>
      </c>
      <c r="D369" t="s">
        <v>176</v>
      </c>
      <c r="E369" t="s">
        <v>205</v>
      </c>
      <c r="F369" t="s">
        <v>157</v>
      </c>
      <c r="G369">
        <v>275</v>
      </c>
      <c r="H369" t="s">
        <v>295</v>
      </c>
      <c r="I369">
        <v>718</v>
      </c>
      <c r="J369" t="s">
        <v>211</v>
      </c>
      <c r="K369">
        <v>2</v>
      </c>
      <c r="L369" s="34">
        <v>45847.84652777778</v>
      </c>
      <c r="M369" s="34">
        <v>45847.847916666666</v>
      </c>
      <c r="N369">
        <v>134</v>
      </c>
      <c r="O369">
        <v>88</v>
      </c>
      <c r="P369">
        <v>63</v>
      </c>
      <c r="Q369" s="45">
        <v>23.865773136484624</v>
      </c>
      <c r="R369" t="s">
        <v>75</v>
      </c>
      <c r="S369">
        <v>43</v>
      </c>
    </row>
    <row r="370" spans="1:19">
      <c r="A370">
        <v>2368</v>
      </c>
      <c r="B370">
        <v>3368</v>
      </c>
      <c r="C370" t="s">
        <v>194</v>
      </c>
      <c r="D370" t="s">
        <v>176</v>
      </c>
      <c r="E370" t="s">
        <v>275</v>
      </c>
      <c r="F370" t="s">
        <v>262</v>
      </c>
      <c r="G370">
        <v>978</v>
      </c>
      <c r="H370" t="s">
        <v>284</v>
      </c>
      <c r="I370">
        <v>689</v>
      </c>
      <c r="J370" t="s">
        <v>247</v>
      </c>
      <c r="K370">
        <v>1</v>
      </c>
      <c r="L370" s="34">
        <v>45868.796527777777</v>
      </c>
      <c r="M370" s="34">
        <v>45868.799305555556</v>
      </c>
      <c r="N370">
        <v>233</v>
      </c>
      <c r="O370">
        <v>93</v>
      </c>
      <c r="P370">
        <v>66</v>
      </c>
      <c r="Q370" s="45">
        <v>48.869332459514638</v>
      </c>
      <c r="R370" t="s">
        <v>75</v>
      </c>
      <c r="S370">
        <v>15</v>
      </c>
    </row>
    <row r="371" spans="1:19">
      <c r="A371">
        <v>2369</v>
      </c>
      <c r="B371">
        <v>3369</v>
      </c>
      <c r="C371" t="s">
        <v>172</v>
      </c>
      <c r="D371" t="s">
        <v>189</v>
      </c>
      <c r="E371" t="s">
        <v>187</v>
      </c>
      <c r="F371" t="s">
        <v>239</v>
      </c>
      <c r="G371">
        <v>156</v>
      </c>
      <c r="H371" t="s">
        <v>293</v>
      </c>
      <c r="I371">
        <v>472</v>
      </c>
      <c r="J371" t="s">
        <v>174</v>
      </c>
      <c r="K371">
        <v>2</v>
      </c>
      <c r="L371" s="34">
        <v>45863.055555555555</v>
      </c>
      <c r="M371" s="34">
        <v>45863.058333333334</v>
      </c>
      <c r="N371">
        <v>236</v>
      </c>
      <c r="O371">
        <v>29</v>
      </c>
      <c r="P371">
        <v>80</v>
      </c>
      <c r="Q371" s="45">
        <v>55.859331087288368</v>
      </c>
      <c r="R371" t="s">
        <v>82</v>
      </c>
      <c r="S371">
        <v>34</v>
      </c>
    </row>
    <row r="372" spans="1:19">
      <c r="A372">
        <v>2370</v>
      </c>
      <c r="B372">
        <v>3370</v>
      </c>
      <c r="C372" t="s">
        <v>183</v>
      </c>
      <c r="D372" t="s">
        <v>189</v>
      </c>
      <c r="E372" t="s">
        <v>197</v>
      </c>
      <c r="F372" t="s">
        <v>268</v>
      </c>
      <c r="G372">
        <v>907</v>
      </c>
      <c r="H372" t="s">
        <v>296</v>
      </c>
      <c r="I372">
        <v>946</v>
      </c>
      <c r="J372" t="s">
        <v>193</v>
      </c>
      <c r="K372">
        <v>3</v>
      </c>
      <c r="L372" s="34">
        <v>45702.058333333334</v>
      </c>
      <c r="M372" s="34">
        <v>45702.061805555553</v>
      </c>
      <c r="N372">
        <v>290</v>
      </c>
      <c r="O372">
        <v>62</v>
      </c>
      <c r="P372">
        <v>91</v>
      </c>
      <c r="Q372" s="45">
        <v>63.457522417115754</v>
      </c>
      <c r="R372" t="s">
        <v>75</v>
      </c>
      <c r="S372">
        <v>21</v>
      </c>
    </row>
    <row r="373" spans="1:19">
      <c r="A373">
        <v>2371</v>
      </c>
      <c r="B373">
        <v>3371</v>
      </c>
      <c r="C373" t="s">
        <v>163</v>
      </c>
      <c r="D373" t="s">
        <v>215</v>
      </c>
      <c r="E373" t="s">
        <v>209</v>
      </c>
      <c r="F373" t="s">
        <v>269</v>
      </c>
      <c r="G373">
        <v>364</v>
      </c>
      <c r="H373" t="s">
        <v>303</v>
      </c>
      <c r="I373">
        <v>299</v>
      </c>
      <c r="J373" t="s">
        <v>220</v>
      </c>
      <c r="K373">
        <v>1</v>
      </c>
      <c r="L373" s="34">
        <v>45867.334027777775</v>
      </c>
      <c r="M373" s="34">
        <v>45867.338194444441</v>
      </c>
      <c r="N373">
        <v>415</v>
      </c>
      <c r="O373">
        <v>45</v>
      </c>
      <c r="P373">
        <v>53</v>
      </c>
      <c r="Q373" s="45">
        <v>81.953202182724112</v>
      </c>
      <c r="R373" t="s">
        <v>75</v>
      </c>
      <c r="S373">
        <v>38</v>
      </c>
    </row>
    <row r="374" spans="1:19">
      <c r="A374">
        <v>2372</v>
      </c>
      <c r="B374">
        <v>3372</v>
      </c>
      <c r="C374" t="s">
        <v>223</v>
      </c>
      <c r="D374" t="s">
        <v>186</v>
      </c>
      <c r="E374" t="s">
        <v>274</v>
      </c>
      <c r="F374" t="s">
        <v>266</v>
      </c>
      <c r="G374">
        <v>140</v>
      </c>
      <c r="H374" t="s">
        <v>302</v>
      </c>
      <c r="I374">
        <v>751</v>
      </c>
      <c r="J374" t="s">
        <v>158</v>
      </c>
      <c r="K374">
        <v>1</v>
      </c>
      <c r="L374" s="34">
        <v>45700.303472222222</v>
      </c>
      <c r="M374" s="34">
        <v>45700.306250000001</v>
      </c>
      <c r="N374">
        <v>213</v>
      </c>
      <c r="O374">
        <v>39</v>
      </c>
      <c r="P374">
        <v>82</v>
      </c>
      <c r="Q374" s="45">
        <v>36.710025964993015</v>
      </c>
      <c r="R374" t="s">
        <v>82</v>
      </c>
      <c r="S374">
        <v>21</v>
      </c>
    </row>
    <row r="375" spans="1:19">
      <c r="A375">
        <v>2373</v>
      </c>
      <c r="B375">
        <v>3373</v>
      </c>
      <c r="C375" t="s">
        <v>223</v>
      </c>
      <c r="D375" t="s">
        <v>164</v>
      </c>
      <c r="E375" t="s">
        <v>187</v>
      </c>
      <c r="F375" t="s">
        <v>260</v>
      </c>
      <c r="G375">
        <v>392</v>
      </c>
      <c r="H375" t="s">
        <v>304</v>
      </c>
      <c r="I375">
        <v>210</v>
      </c>
      <c r="J375" t="s">
        <v>230</v>
      </c>
      <c r="K375">
        <v>1</v>
      </c>
      <c r="L375" s="34">
        <v>45764.750694444447</v>
      </c>
      <c r="M375" s="34">
        <v>45764.755555555559</v>
      </c>
      <c r="N375">
        <v>419</v>
      </c>
      <c r="O375">
        <v>6</v>
      </c>
      <c r="P375">
        <v>75</v>
      </c>
      <c r="Q375" s="45">
        <v>63.897819439064286</v>
      </c>
      <c r="R375" t="s">
        <v>82</v>
      </c>
      <c r="S375">
        <v>25</v>
      </c>
    </row>
    <row r="376" spans="1:19">
      <c r="A376">
        <v>2374</v>
      </c>
      <c r="B376">
        <v>3374</v>
      </c>
      <c r="C376" t="s">
        <v>245</v>
      </c>
      <c r="D376" t="s">
        <v>176</v>
      </c>
      <c r="E376" t="s">
        <v>209</v>
      </c>
      <c r="F376" t="s">
        <v>157</v>
      </c>
      <c r="G376">
        <v>188</v>
      </c>
      <c r="H376" t="s">
        <v>288</v>
      </c>
      <c r="I376">
        <v>698</v>
      </c>
      <c r="J376" t="s">
        <v>174</v>
      </c>
      <c r="K376">
        <v>1</v>
      </c>
      <c r="L376" s="34">
        <v>45817.283333333333</v>
      </c>
      <c r="M376" s="34">
        <v>45817.284722222219</v>
      </c>
      <c r="N376">
        <v>119</v>
      </c>
      <c r="O376">
        <v>21</v>
      </c>
      <c r="P376">
        <v>74</v>
      </c>
      <c r="Q376" s="45">
        <v>21.032869663687496</v>
      </c>
      <c r="R376" t="s">
        <v>82</v>
      </c>
      <c r="S376">
        <v>27</v>
      </c>
    </row>
    <row r="377" spans="1:19">
      <c r="A377">
        <v>2375</v>
      </c>
      <c r="B377">
        <v>3375</v>
      </c>
      <c r="C377" t="s">
        <v>159</v>
      </c>
      <c r="D377" t="s">
        <v>176</v>
      </c>
      <c r="E377" t="s">
        <v>169</v>
      </c>
      <c r="F377" t="s">
        <v>239</v>
      </c>
      <c r="G377">
        <v>600</v>
      </c>
      <c r="H377" t="s">
        <v>282</v>
      </c>
      <c r="I377">
        <v>223</v>
      </c>
      <c r="J377" t="s">
        <v>222</v>
      </c>
      <c r="K377">
        <v>2</v>
      </c>
      <c r="L377" s="34">
        <v>45718.163194444445</v>
      </c>
      <c r="M377" s="34">
        <v>45718.167361111111</v>
      </c>
      <c r="N377">
        <v>315</v>
      </c>
      <c r="O377">
        <v>96</v>
      </c>
      <c r="P377">
        <v>64</v>
      </c>
      <c r="Q377" s="45">
        <v>70.498408145032471</v>
      </c>
      <c r="R377" t="s">
        <v>75</v>
      </c>
      <c r="S377">
        <v>32</v>
      </c>
    </row>
    <row r="378" spans="1:19">
      <c r="A378">
        <v>2376</v>
      </c>
      <c r="B378">
        <v>3376</v>
      </c>
      <c r="C378" t="s">
        <v>206</v>
      </c>
      <c r="D378" t="s">
        <v>189</v>
      </c>
      <c r="E378" t="s">
        <v>160</v>
      </c>
      <c r="F378" t="s">
        <v>260</v>
      </c>
      <c r="G378">
        <v>716</v>
      </c>
      <c r="H378" t="s">
        <v>294</v>
      </c>
      <c r="I378">
        <v>358</v>
      </c>
      <c r="J378" t="s">
        <v>210</v>
      </c>
      <c r="K378">
        <v>3</v>
      </c>
      <c r="L378" s="34">
        <v>45861.693749999999</v>
      </c>
      <c r="M378" s="34">
        <v>45861.7</v>
      </c>
      <c r="N378">
        <v>524</v>
      </c>
      <c r="O378">
        <v>0</v>
      </c>
      <c r="P378">
        <v>90</v>
      </c>
      <c r="Q378" s="45">
        <v>99.419466151517611</v>
      </c>
      <c r="R378" t="s">
        <v>82</v>
      </c>
      <c r="S378">
        <v>47</v>
      </c>
    </row>
    <row r="379" spans="1:19">
      <c r="A379">
        <v>2377</v>
      </c>
      <c r="B379">
        <v>3377</v>
      </c>
      <c r="C379" t="s">
        <v>206</v>
      </c>
      <c r="D379" t="s">
        <v>234</v>
      </c>
      <c r="E379" t="s">
        <v>187</v>
      </c>
      <c r="F379" t="s">
        <v>259</v>
      </c>
      <c r="G379">
        <v>866</v>
      </c>
      <c r="H379" t="s">
        <v>285</v>
      </c>
      <c r="I379">
        <v>562</v>
      </c>
      <c r="J379" t="s">
        <v>158</v>
      </c>
      <c r="K379">
        <v>2</v>
      </c>
      <c r="L379" s="34">
        <v>45875.957638888889</v>
      </c>
      <c r="M379" s="34">
        <v>45875.959027777775</v>
      </c>
      <c r="N379">
        <v>143</v>
      </c>
      <c r="O379">
        <v>76</v>
      </c>
      <c r="P379">
        <v>67</v>
      </c>
      <c r="Q379" s="45">
        <v>37.82715491254978</v>
      </c>
      <c r="R379" t="s">
        <v>75</v>
      </c>
      <c r="S379">
        <v>9</v>
      </c>
    </row>
    <row r="380" spans="1:19">
      <c r="A380">
        <v>2378</v>
      </c>
      <c r="B380">
        <v>3378</v>
      </c>
      <c r="C380" t="s">
        <v>155</v>
      </c>
      <c r="D380" t="s">
        <v>234</v>
      </c>
      <c r="E380" t="s">
        <v>187</v>
      </c>
      <c r="F380" t="s">
        <v>181</v>
      </c>
      <c r="G380">
        <v>908</v>
      </c>
      <c r="H380" t="s">
        <v>280</v>
      </c>
      <c r="I380">
        <v>513</v>
      </c>
      <c r="J380" t="s">
        <v>162</v>
      </c>
      <c r="K380">
        <v>3</v>
      </c>
      <c r="L380" s="34">
        <v>45970.275000000001</v>
      </c>
      <c r="M380" s="34">
        <v>45970.279861111114</v>
      </c>
      <c r="N380">
        <v>443</v>
      </c>
      <c r="O380">
        <v>94</v>
      </c>
      <c r="P380">
        <v>92</v>
      </c>
      <c r="Q380" s="45">
        <v>78.739096398069705</v>
      </c>
      <c r="R380" t="s">
        <v>75</v>
      </c>
      <c r="S380">
        <v>16</v>
      </c>
    </row>
    <row r="381" spans="1:19">
      <c r="A381">
        <v>2379</v>
      </c>
      <c r="B381">
        <v>3379</v>
      </c>
      <c r="C381" t="s">
        <v>214</v>
      </c>
      <c r="D381" t="s">
        <v>186</v>
      </c>
      <c r="E381" t="s">
        <v>209</v>
      </c>
      <c r="F381" t="s">
        <v>267</v>
      </c>
      <c r="G381">
        <v>586</v>
      </c>
      <c r="H381" t="s">
        <v>286</v>
      </c>
      <c r="I381">
        <v>650</v>
      </c>
      <c r="J381" t="s">
        <v>248</v>
      </c>
      <c r="K381">
        <v>1</v>
      </c>
      <c r="L381" s="34">
        <v>45843.518055555556</v>
      </c>
      <c r="M381" s="34">
        <v>45843.524305555555</v>
      </c>
      <c r="N381">
        <v>556</v>
      </c>
      <c r="O381">
        <v>17</v>
      </c>
      <c r="P381">
        <v>87</v>
      </c>
      <c r="Q381" s="45">
        <v>90.01112950720001</v>
      </c>
      <c r="R381" t="s">
        <v>82</v>
      </c>
      <c r="S381">
        <v>39</v>
      </c>
    </row>
    <row r="382" spans="1:19">
      <c r="A382">
        <v>2380</v>
      </c>
      <c r="B382">
        <v>3380</v>
      </c>
      <c r="C382" t="s">
        <v>163</v>
      </c>
      <c r="D382" t="s">
        <v>224</v>
      </c>
      <c r="E382" t="s">
        <v>274</v>
      </c>
      <c r="F382" t="s">
        <v>271</v>
      </c>
      <c r="G382">
        <v>467</v>
      </c>
      <c r="H382" t="s">
        <v>287</v>
      </c>
      <c r="I382">
        <v>452</v>
      </c>
      <c r="J382" t="s">
        <v>254</v>
      </c>
      <c r="K382">
        <v>2</v>
      </c>
      <c r="L382" s="34">
        <v>45910.910416666666</v>
      </c>
      <c r="M382" s="34">
        <v>45910.913888888892</v>
      </c>
      <c r="N382">
        <v>258</v>
      </c>
      <c r="O382">
        <v>73</v>
      </c>
      <c r="P382">
        <v>58</v>
      </c>
      <c r="Q382" s="45">
        <v>41.910986036741996</v>
      </c>
      <c r="R382" t="s">
        <v>75</v>
      </c>
      <c r="S382">
        <v>14</v>
      </c>
    </row>
    <row r="383" spans="1:19">
      <c r="A383">
        <v>2381</v>
      </c>
      <c r="B383">
        <v>3381</v>
      </c>
      <c r="C383" t="s">
        <v>183</v>
      </c>
      <c r="D383" t="s">
        <v>215</v>
      </c>
      <c r="E383" t="s">
        <v>177</v>
      </c>
      <c r="F383" t="s">
        <v>203</v>
      </c>
      <c r="G383">
        <v>214</v>
      </c>
      <c r="H383" t="s">
        <v>283</v>
      </c>
      <c r="I383">
        <v>603</v>
      </c>
      <c r="J383" t="s">
        <v>247</v>
      </c>
      <c r="K383">
        <v>2</v>
      </c>
      <c r="L383" s="34">
        <v>45771.822916666664</v>
      </c>
      <c r="M383" s="34">
        <v>45771.824999999997</v>
      </c>
      <c r="N383">
        <v>155</v>
      </c>
      <c r="O383">
        <v>96</v>
      </c>
      <c r="P383">
        <v>80</v>
      </c>
      <c r="Q383" s="45">
        <v>26.804433355342159</v>
      </c>
      <c r="R383" t="s">
        <v>75</v>
      </c>
      <c r="S383">
        <v>6</v>
      </c>
    </row>
    <row r="384" spans="1:19">
      <c r="A384">
        <v>2382</v>
      </c>
      <c r="B384">
        <v>3382</v>
      </c>
      <c r="C384" t="s">
        <v>223</v>
      </c>
      <c r="D384" t="s">
        <v>221</v>
      </c>
      <c r="E384" t="s">
        <v>209</v>
      </c>
      <c r="F384" t="s">
        <v>239</v>
      </c>
      <c r="G384">
        <v>120</v>
      </c>
      <c r="H384" t="s">
        <v>300</v>
      </c>
      <c r="I384">
        <v>930</v>
      </c>
      <c r="J384" t="s">
        <v>179</v>
      </c>
      <c r="K384">
        <v>2</v>
      </c>
      <c r="L384" s="34">
        <v>45726.761805555558</v>
      </c>
      <c r="M384" s="34">
        <v>45726.767361111109</v>
      </c>
      <c r="N384">
        <v>470</v>
      </c>
      <c r="O384">
        <v>94</v>
      </c>
      <c r="P384">
        <v>74</v>
      </c>
      <c r="Q384" s="45">
        <v>76.483087913085669</v>
      </c>
      <c r="R384" t="s">
        <v>75</v>
      </c>
      <c r="S384">
        <v>21</v>
      </c>
    </row>
    <row r="385" spans="1:19">
      <c r="A385">
        <v>2383</v>
      </c>
      <c r="B385">
        <v>3383</v>
      </c>
      <c r="C385" t="s">
        <v>190</v>
      </c>
      <c r="D385" t="s">
        <v>164</v>
      </c>
      <c r="E385" t="s">
        <v>197</v>
      </c>
      <c r="F385" t="s">
        <v>260</v>
      </c>
      <c r="G385">
        <v>531</v>
      </c>
      <c r="H385" t="s">
        <v>286</v>
      </c>
      <c r="I385">
        <v>672</v>
      </c>
      <c r="J385" t="s">
        <v>236</v>
      </c>
      <c r="K385">
        <v>1</v>
      </c>
      <c r="L385" s="34">
        <v>45924.724305555559</v>
      </c>
      <c r="M385" s="34">
        <v>45924.728472222225</v>
      </c>
      <c r="N385">
        <v>332</v>
      </c>
      <c r="O385">
        <v>94</v>
      </c>
      <c r="P385">
        <v>55</v>
      </c>
      <c r="Q385" s="45">
        <v>49.159094540518325</v>
      </c>
      <c r="R385" t="s">
        <v>75</v>
      </c>
      <c r="S385">
        <v>22</v>
      </c>
    </row>
    <row r="386" spans="1:19">
      <c r="A386">
        <v>2384</v>
      </c>
      <c r="B386">
        <v>3384</v>
      </c>
      <c r="C386" t="s">
        <v>194</v>
      </c>
      <c r="D386" t="s">
        <v>189</v>
      </c>
      <c r="E386" t="s">
        <v>177</v>
      </c>
      <c r="F386" t="s">
        <v>269</v>
      </c>
      <c r="G386">
        <v>505</v>
      </c>
      <c r="H386" t="s">
        <v>298</v>
      </c>
      <c r="I386">
        <v>807</v>
      </c>
      <c r="J386" t="s">
        <v>236</v>
      </c>
      <c r="K386">
        <v>3</v>
      </c>
      <c r="L386" s="34">
        <v>45814.474999999999</v>
      </c>
      <c r="M386" s="34">
        <v>45814.481249999997</v>
      </c>
      <c r="N386">
        <v>546</v>
      </c>
      <c r="O386">
        <v>53</v>
      </c>
      <c r="P386">
        <v>60</v>
      </c>
      <c r="Q386" s="45">
        <v>92.348234776645768</v>
      </c>
      <c r="R386" t="s">
        <v>75</v>
      </c>
      <c r="S386">
        <v>48</v>
      </c>
    </row>
    <row r="387" spans="1:19">
      <c r="A387">
        <v>2385</v>
      </c>
      <c r="B387">
        <v>3385</v>
      </c>
      <c r="C387" t="s">
        <v>159</v>
      </c>
      <c r="D387" t="s">
        <v>241</v>
      </c>
      <c r="E387" t="s">
        <v>187</v>
      </c>
      <c r="F387" t="s">
        <v>263</v>
      </c>
      <c r="G387">
        <v>281</v>
      </c>
      <c r="H387" t="s">
        <v>293</v>
      </c>
      <c r="I387">
        <v>750</v>
      </c>
      <c r="J387" t="s">
        <v>208</v>
      </c>
      <c r="K387">
        <v>3</v>
      </c>
      <c r="L387" s="34">
        <v>45831.119444444441</v>
      </c>
      <c r="M387" s="34">
        <v>45831.120833333334</v>
      </c>
      <c r="N387">
        <v>135</v>
      </c>
      <c r="O387">
        <v>12</v>
      </c>
      <c r="P387">
        <v>68</v>
      </c>
      <c r="Q387" s="45">
        <v>23.792145014819127</v>
      </c>
      <c r="R387" t="s">
        <v>82</v>
      </c>
      <c r="S387">
        <v>35</v>
      </c>
    </row>
    <row r="388" spans="1:19">
      <c r="A388">
        <v>2386</v>
      </c>
      <c r="B388">
        <v>3386</v>
      </c>
      <c r="C388" t="s">
        <v>206</v>
      </c>
      <c r="D388" t="s">
        <v>261</v>
      </c>
      <c r="E388" t="s">
        <v>160</v>
      </c>
      <c r="F388" t="s">
        <v>258</v>
      </c>
      <c r="G388">
        <v>952</v>
      </c>
      <c r="H388" t="s">
        <v>299</v>
      </c>
      <c r="I388">
        <v>429</v>
      </c>
      <c r="J388" t="s">
        <v>250</v>
      </c>
      <c r="K388">
        <v>1</v>
      </c>
      <c r="L388" s="34">
        <v>45668.948611111111</v>
      </c>
      <c r="M388" s="34">
        <v>45668.95416666667</v>
      </c>
      <c r="N388">
        <v>508</v>
      </c>
      <c r="O388">
        <v>38</v>
      </c>
      <c r="P388">
        <v>96</v>
      </c>
      <c r="Q388" s="45">
        <v>90.160474672101458</v>
      </c>
      <c r="R388" t="s">
        <v>82</v>
      </c>
      <c r="S388">
        <v>18</v>
      </c>
    </row>
    <row r="389" spans="1:19">
      <c r="A389">
        <v>2387</v>
      </c>
      <c r="B389">
        <v>3387</v>
      </c>
      <c r="C389" t="s">
        <v>194</v>
      </c>
      <c r="D389" t="s">
        <v>249</v>
      </c>
      <c r="E389" t="s">
        <v>160</v>
      </c>
      <c r="F389" t="s">
        <v>260</v>
      </c>
      <c r="G389">
        <v>125</v>
      </c>
      <c r="H389" t="s">
        <v>295</v>
      </c>
      <c r="I389">
        <v>590</v>
      </c>
      <c r="J389" t="s">
        <v>201</v>
      </c>
      <c r="K389">
        <v>1</v>
      </c>
      <c r="L389" s="34">
        <v>45772.97152777778</v>
      </c>
      <c r="M389" s="34">
        <v>45772.977777777778</v>
      </c>
      <c r="N389">
        <v>527</v>
      </c>
      <c r="O389">
        <v>92</v>
      </c>
      <c r="P389">
        <v>95</v>
      </c>
      <c r="Q389" s="45">
        <v>84.336710857346333</v>
      </c>
      <c r="R389" t="s">
        <v>75</v>
      </c>
      <c r="S389">
        <v>24</v>
      </c>
    </row>
    <row r="390" spans="1:19">
      <c r="A390">
        <v>2388</v>
      </c>
      <c r="B390">
        <v>3388</v>
      </c>
      <c r="C390" t="s">
        <v>253</v>
      </c>
      <c r="D390" t="s">
        <v>221</v>
      </c>
      <c r="E390" t="s">
        <v>275</v>
      </c>
      <c r="F390" t="s">
        <v>273</v>
      </c>
      <c r="G390">
        <v>373</v>
      </c>
      <c r="H390" t="s">
        <v>290</v>
      </c>
      <c r="I390">
        <v>366</v>
      </c>
      <c r="J390" t="s">
        <v>232</v>
      </c>
      <c r="K390">
        <v>2</v>
      </c>
      <c r="L390" s="34">
        <v>45889.158333333333</v>
      </c>
      <c r="M390" s="34">
        <v>45889.163888888892</v>
      </c>
      <c r="N390">
        <v>504</v>
      </c>
      <c r="O390">
        <v>44</v>
      </c>
      <c r="P390">
        <v>84</v>
      </c>
      <c r="Q390" s="45">
        <v>88.948555352307267</v>
      </c>
      <c r="R390" t="s">
        <v>82</v>
      </c>
      <c r="S390">
        <v>15</v>
      </c>
    </row>
    <row r="391" spans="1:19">
      <c r="A391">
        <v>2389</v>
      </c>
      <c r="B391">
        <v>3389</v>
      </c>
      <c r="C391" t="s">
        <v>190</v>
      </c>
      <c r="D391" t="s">
        <v>249</v>
      </c>
      <c r="E391" t="s">
        <v>197</v>
      </c>
      <c r="F391" t="s">
        <v>265</v>
      </c>
      <c r="G391">
        <v>141</v>
      </c>
      <c r="H391" t="s">
        <v>293</v>
      </c>
      <c r="I391">
        <v>405</v>
      </c>
      <c r="J391" t="s">
        <v>236</v>
      </c>
      <c r="K391">
        <v>1</v>
      </c>
      <c r="L391" s="34">
        <v>45952.23541666667</v>
      </c>
      <c r="M391" s="34">
        <v>45952.239583333336</v>
      </c>
      <c r="N391">
        <v>376</v>
      </c>
      <c r="O391">
        <v>64</v>
      </c>
      <c r="P391">
        <v>60</v>
      </c>
      <c r="Q391" s="45">
        <v>72.978395394804494</v>
      </c>
      <c r="R391" t="s">
        <v>75</v>
      </c>
      <c r="S391">
        <v>36</v>
      </c>
    </row>
    <row r="392" spans="1:19">
      <c r="A392">
        <v>2390</v>
      </c>
      <c r="B392">
        <v>3390</v>
      </c>
      <c r="C392" t="s">
        <v>159</v>
      </c>
      <c r="D392" t="s">
        <v>207</v>
      </c>
      <c r="E392" t="s">
        <v>275</v>
      </c>
      <c r="F392" t="s">
        <v>181</v>
      </c>
      <c r="G392">
        <v>648</v>
      </c>
      <c r="H392" t="s">
        <v>280</v>
      </c>
      <c r="I392">
        <v>451</v>
      </c>
      <c r="J392" t="s">
        <v>193</v>
      </c>
      <c r="K392">
        <v>2</v>
      </c>
      <c r="L392" s="34">
        <v>45746.454861111109</v>
      </c>
      <c r="M392" s="34">
        <v>45746.460416666669</v>
      </c>
      <c r="N392">
        <v>524</v>
      </c>
      <c r="O392">
        <v>66</v>
      </c>
      <c r="P392">
        <v>85</v>
      </c>
      <c r="Q392" s="45">
        <v>80.056232217521369</v>
      </c>
      <c r="R392" t="s">
        <v>75</v>
      </c>
      <c r="S392">
        <v>10</v>
      </c>
    </row>
    <row r="393" spans="1:19">
      <c r="A393">
        <v>2391</v>
      </c>
      <c r="B393">
        <v>3391</v>
      </c>
      <c r="C393" t="s">
        <v>155</v>
      </c>
      <c r="D393" t="s">
        <v>215</v>
      </c>
      <c r="E393" t="s">
        <v>160</v>
      </c>
      <c r="F393" t="s">
        <v>255</v>
      </c>
      <c r="G393">
        <v>516</v>
      </c>
      <c r="H393" t="s">
        <v>291</v>
      </c>
      <c r="I393">
        <v>123</v>
      </c>
      <c r="J393" t="s">
        <v>196</v>
      </c>
      <c r="K393">
        <v>3</v>
      </c>
      <c r="L393" s="34">
        <v>45866.918749999997</v>
      </c>
      <c r="M393" s="34">
        <v>45866.920138888891</v>
      </c>
      <c r="N393">
        <v>114</v>
      </c>
      <c r="O393">
        <v>55</v>
      </c>
      <c r="P393">
        <v>80</v>
      </c>
      <c r="Q393" s="45">
        <v>32.767104762290096</v>
      </c>
      <c r="R393" t="s">
        <v>75</v>
      </c>
      <c r="S393">
        <v>21</v>
      </c>
    </row>
    <row r="394" spans="1:19">
      <c r="A394">
        <v>2392</v>
      </c>
      <c r="B394">
        <v>3392</v>
      </c>
      <c r="C394" t="s">
        <v>251</v>
      </c>
      <c r="D394" t="s">
        <v>202</v>
      </c>
      <c r="E394" t="s">
        <v>275</v>
      </c>
      <c r="F394" t="s">
        <v>270</v>
      </c>
      <c r="G394">
        <v>659</v>
      </c>
      <c r="H394" t="s">
        <v>284</v>
      </c>
      <c r="I394">
        <v>774</v>
      </c>
      <c r="J394" t="s">
        <v>204</v>
      </c>
      <c r="K394">
        <v>1</v>
      </c>
      <c r="L394" s="34">
        <v>45827.911111111112</v>
      </c>
      <c r="M394" s="34">
        <v>45827.916666666664</v>
      </c>
      <c r="N394">
        <v>513</v>
      </c>
      <c r="O394">
        <v>88</v>
      </c>
      <c r="P394">
        <v>84</v>
      </c>
      <c r="Q394" s="45">
        <v>89.9256007630228</v>
      </c>
      <c r="R394" t="s">
        <v>75</v>
      </c>
      <c r="S394">
        <v>21</v>
      </c>
    </row>
    <row r="395" spans="1:19">
      <c r="A395">
        <v>2393</v>
      </c>
      <c r="B395">
        <v>3393</v>
      </c>
      <c r="C395" t="s">
        <v>217</v>
      </c>
      <c r="D395" t="s">
        <v>234</v>
      </c>
      <c r="E395" t="s">
        <v>177</v>
      </c>
      <c r="F395" t="s">
        <v>266</v>
      </c>
      <c r="G395">
        <v>115</v>
      </c>
      <c r="H395" t="s">
        <v>287</v>
      </c>
      <c r="I395">
        <v>869</v>
      </c>
      <c r="J395" t="s">
        <v>196</v>
      </c>
      <c r="K395">
        <v>3</v>
      </c>
      <c r="L395" s="34">
        <v>45776.698611111111</v>
      </c>
      <c r="M395" s="34">
        <v>45776.704861111109</v>
      </c>
      <c r="N395">
        <v>525</v>
      </c>
      <c r="O395">
        <v>69</v>
      </c>
      <c r="P395">
        <v>99</v>
      </c>
      <c r="Q395" s="45">
        <v>87.597391841720466</v>
      </c>
      <c r="R395" t="s">
        <v>75</v>
      </c>
      <c r="S395">
        <v>15</v>
      </c>
    </row>
    <row r="396" spans="1:19">
      <c r="A396">
        <v>2394</v>
      </c>
      <c r="B396">
        <v>3394</v>
      </c>
      <c r="C396" t="s">
        <v>183</v>
      </c>
      <c r="D396" t="s">
        <v>241</v>
      </c>
      <c r="E396" t="s">
        <v>205</v>
      </c>
      <c r="F396" t="s">
        <v>181</v>
      </c>
      <c r="G396">
        <v>693</v>
      </c>
      <c r="H396" t="s">
        <v>285</v>
      </c>
      <c r="I396">
        <v>491</v>
      </c>
      <c r="J396" t="s">
        <v>220</v>
      </c>
      <c r="K396">
        <v>3</v>
      </c>
      <c r="L396" s="34">
        <v>45894.669444444444</v>
      </c>
      <c r="M396" s="34">
        <v>45894.67083333333</v>
      </c>
      <c r="N396">
        <v>73</v>
      </c>
      <c r="O396">
        <v>49</v>
      </c>
      <c r="P396">
        <v>66</v>
      </c>
      <c r="Q396" s="45">
        <v>30.899104998765736</v>
      </c>
      <c r="R396" t="s">
        <v>75</v>
      </c>
      <c r="S396">
        <v>19</v>
      </c>
    </row>
    <row r="397" spans="1:19">
      <c r="A397">
        <v>2395</v>
      </c>
      <c r="B397">
        <v>3395</v>
      </c>
      <c r="C397" t="s">
        <v>223</v>
      </c>
      <c r="D397" t="s">
        <v>156</v>
      </c>
      <c r="E397" t="s">
        <v>205</v>
      </c>
      <c r="F397" t="s">
        <v>258</v>
      </c>
      <c r="G397">
        <v>903</v>
      </c>
      <c r="H397" t="s">
        <v>279</v>
      </c>
      <c r="I397">
        <v>708</v>
      </c>
      <c r="J397" t="s">
        <v>196</v>
      </c>
      <c r="K397">
        <v>2</v>
      </c>
      <c r="L397" s="34">
        <v>45726.584027777775</v>
      </c>
      <c r="M397" s="34">
        <v>45726.588194444441</v>
      </c>
      <c r="N397">
        <v>322</v>
      </c>
      <c r="O397">
        <v>67</v>
      </c>
      <c r="P397">
        <v>64</v>
      </c>
      <c r="Q397" s="45">
        <v>66.251599233639197</v>
      </c>
      <c r="R397" t="s">
        <v>75</v>
      </c>
      <c r="S397">
        <v>44</v>
      </c>
    </row>
    <row r="398" spans="1:19">
      <c r="A398">
        <v>2396</v>
      </c>
      <c r="B398">
        <v>3396</v>
      </c>
      <c r="C398" t="s">
        <v>167</v>
      </c>
      <c r="D398" t="s">
        <v>176</v>
      </c>
      <c r="E398" t="s">
        <v>169</v>
      </c>
      <c r="F398" t="s">
        <v>271</v>
      </c>
      <c r="G398">
        <v>797</v>
      </c>
      <c r="H398" t="s">
        <v>278</v>
      </c>
      <c r="I398">
        <v>311</v>
      </c>
      <c r="J398" t="s">
        <v>171</v>
      </c>
      <c r="K398">
        <v>3</v>
      </c>
      <c r="L398" s="34">
        <v>45699.104166666664</v>
      </c>
      <c r="M398" s="34">
        <v>45699.111111111109</v>
      </c>
      <c r="N398">
        <v>590</v>
      </c>
      <c r="O398">
        <v>73</v>
      </c>
      <c r="P398">
        <v>87</v>
      </c>
      <c r="Q398" s="45">
        <v>95.182319967274353</v>
      </c>
      <c r="R398" t="s">
        <v>75</v>
      </c>
      <c r="S398">
        <v>39</v>
      </c>
    </row>
    <row r="399" spans="1:19">
      <c r="A399">
        <v>2397</v>
      </c>
      <c r="B399">
        <v>3397</v>
      </c>
      <c r="C399" t="s">
        <v>245</v>
      </c>
      <c r="D399" t="s">
        <v>241</v>
      </c>
      <c r="E399" t="s">
        <v>205</v>
      </c>
      <c r="F399" t="s">
        <v>267</v>
      </c>
      <c r="G399">
        <v>946</v>
      </c>
      <c r="H399" t="s">
        <v>299</v>
      </c>
      <c r="I399">
        <v>446</v>
      </c>
      <c r="J399" t="s">
        <v>250</v>
      </c>
      <c r="K399">
        <v>2</v>
      </c>
      <c r="L399" s="34">
        <v>45906.177083333336</v>
      </c>
      <c r="M399" s="34">
        <v>45906.178472222222</v>
      </c>
      <c r="N399">
        <v>76</v>
      </c>
      <c r="O399">
        <v>76</v>
      </c>
      <c r="P399">
        <v>77</v>
      </c>
      <c r="Q399" s="45">
        <v>25.588833898504252</v>
      </c>
      <c r="R399" t="s">
        <v>75</v>
      </c>
      <c r="S399">
        <v>37</v>
      </c>
    </row>
    <row r="400" spans="1:19">
      <c r="A400">
        <v>2398</v>
      </c>
      <c r="B400">
        <v>3398</v>
      </c>
      <c r="C400" t="s">
        <v>217</v>
      </c>
      <c r="D400" t="s">
        <v>249</v>
      </c>
      <c r="E400" t="s">
        <v>197</v>
      </c>
      <c r="F400" t="s">
        <v>269</v>
      </c>
      <c r="G400">
        <v>121</v>
      </c>
      <c r="H400" t="s">
        <v>283</v>
      </c>
      <c r="I400">
        <v>622</v>
      </c>
      <c r="J400" t="s">
        <v>238</v>
      </c>
      <c r="K400">
        <v>3</v>
      </c>
      <c r="L400" s="34">
        <v>45899.161805555559</v>
      </c>
      <c r="M400" s="34">
        <v>45899.163888888892</v>
      </c>
      <c r="N400">
        <v>196</v>
      </c>
      <c r="O400">
        <v>41</v>
      </c>
      <c r="P400">
        <v>92</v>
      </c>
      <c r="Q400" s="45">
        <v>47.568147810741074</v>
      </c>
      <c r="R400" t="s">
        <v>82</v>
      </c>
      <c r="S400">
        <v>39</v>
      </c>
    </row>
    <row r="401" spans="1:19">
      <c r="A401">
        <v>2399</v>
      </c>
      <c r="B401">
        <v>3399</v>
      </c>
      <c r="C401" t="s">
        <v>245</v>
      </c>
      <c r="D401" t="s">
        <v>202</v>
      </c>
      <c r="E401" t="s">
        <v>275</v>
      </c>
      <c r="F401" t="s">
        <v>259</v>
      </c>
      <c r="G401">
        <v>696</v>
      </c>
      <c r="H401" t="s">
        <v>289</v>
      </c>
      <c r="I401">
        <v>809</v>
      </c>
      <c r="J401" t="s">
        <v>220</v>
      </c>
      <c r="K401">
        <v>3</v>
      </c>
      <c r="L401" s="34">
        <v>45959.236805555556</v>
      </c>
      <c r="M401" s="34">
        <v>45959.238194444442</v>
      </c>
      <c r="N401">
        <v>123</v>
      </c>
      <c r="O401">
        <v>88</v>
      </c>
      <c r="P401">
        <v>65</v>
      </c>
      <c r="Q401" s="45">
        <v>29.659353964746991</v>
      </c>
      <c r="R401" t="s">
        <v>75</v>
      </c>
      <c r="S401">
        <v>39</v>
      </c>
    </row>
    <row r="402" spans="1:19">
      <c r="A402">
        <v>2400</v>
      </c>
      <c r="B402">
        <v>3400</v>
      </c>
      <c r="C402" t="s">
        <v>163</v>
      </c>
      <c r="D402" t="s">
        <v>176</v>
      </c>
      <c r="E402" t="s">
        <v>275</v>
      </c>
      <c r="F402" t="s">
        <v>181</v>
      </c>
      <c r="G402">
        <v>764</v>
      </c>
      <c r="H402" t="s">
        <v>293</v>
      </c>
      <c r="I402">
        <v>602</v>
      </c>
      <c r="J402" t="s">
        <v>182</v>
      </c>
      <c r="K402">
        <v>2</v>
      </c>
      <c r="L402" s="34">
        <v>45964.871527777781</v>
      </c>
      <c r="M402" s="34">
        <v>45964.877083333333</v>
      </c>
      <c r="N402">
        <v>499</v>
      </c>
      <c r="O402">
        <v>20</v>
      </c>
      <c r="P402">
        <v>51</v>
      </c>
      <c r="Q402" s="45">
        <v>76.964154502162984</v>
      </c>
      <c r="R402" t="s">
        <v>82</v>
      </c>
      <c r="S402">
        <v>28</v>
      </c>
    </row>
    <row r="403" spans="1:19">
      <c r="A403">
        <v>2401</v>
      </c>
      <c r="B403">
        <v>3401</v>
      </c>
      <c r="C403" t="s">
        <v>159</v>
      </c>
      <c r="D403" t="s">
        <v>261</v>
      </c>
      <c r="E403" t="s">
        <v>209</v>
      </c>
      <c r="F403" t="s">
        <v>267</v>
      </c>
      <c r="G403">
        <v>582</v>
      </c>
      <c r="H403" t="s">
        <v>297</v>
      </c>
      <c r="I403">
        <v>992</v>
      </c>
      <c r="J403" t="s">
        <v>210</v>
      </c>
      <c r="K403">
        <v>3</v>
      </c>
      <c r="L403" s="34">
        <v>45709.102777777778</v>
      </c>
      <c r="M403" s="34">
        <v>45709.103472222225</v>
      </c>
      <c r="N403">
        <v>88</v>
      </c>
      <c r="O403">
        <v>63</v>
      </c>
      <c r="P403">
        <v>85</v>
      </c>
      <c r="Q403" s="45">
        <v>21.145094579221684</v>
      </c>
      <c r="R403" t="s">
        <v>75</v>
      </c>
      <c r="S403">
        <v>46</v>
      </c>
    </row>
    <row r="404" spans="1:19">
      <c r="A404">
        <v>2402</v>
      </c>
      <c r="B404">
        <v>3402</v>
      </c>
      <c r="C404" t="s">
        <v>227</v>
      </c>
      <c r="D404" t="s">
        <v>84</v>
      </c>
      <c r="E404" t="s">
        <v>209</v>
      </c>
      <c r="F404" t="s">
        <v>267</v>
      </c>
      <c r="G404">
        <v>562</v>
      </c>
      <c r="H404" t="s">
        <v>281</v>
      </c>
      <c r="I404">
        <v>806</v>
      </c>
      <c r="J404" t="s">
        <v>247</v>
      </c>
      <c r="K404">
        <v>1</v>
      </c>
      <c r="L404" s="34">
        <v>45974.366666666669</v>
      </c>
      <c r="M404" s="34">
        <v>45974.368055555555</v>
      </c>
      <c r="N404">
        <v>84</v>
      </c>
      <c r="O404">
        <v>34</v>
      </c>
      <c r="P404">
        <v>54</v>
      </c>
      <c r="Q404" s="45">
        <v>25.219846523865037</v>
      </c>
      <c r="R404" t="s">
        <v>75</v>
      </c>
      <c r="S404">
        <v>46</v>
      </c>
    </row>
    <row r="405" spans="1:19">
      <c r="A405">
        <v>2403</v>
      </c>
      <c r="B405">
        <v>3403</v>
      </c>
      <c r="C405" t="s">
        <v>163</v>
      </c>
      <c r="D405" t="s">
        <v>207</v>
      </c>
      <c r="E405" t="s">
        <v>197</v>
      </c>
      <c r="F405" t="s">
        <v>271</v>
      </c>
      <c r="G405">
        <v>266</v>
      </c>
      <c r="H405" t="s">
        <v>289</v>
      </c>
      <c r="I405">
        <v>521</v>
      </c>
      <c r="J405" t="s">
        <v>236</v>
      </c>
      <c r="K405">
        <v>2</v>
      </c>
      <c r="L405" s="34">
        <v>45675.967361111114</v>
      </c>
      <c r="M405" s="34">
        <v>45675.970833333333</v>
      </c>
      <c r="N405">
        <v>310</v>
      </c>
      <c r="O405">
        <v>97</v>
      </c>
      <c r="P405">
        <v>87</v>
      </c>
      <c r="Q405" s="45">
        <v>68.906400888101317</v>
      </c>
      <c r="R405" t="s">
        <v>75</v>
      </c>
      <c r="S405">
        <v>17</v>
      </c>
    </row>
    <row r="406" spans="1:19">
      <c r="A406">
        <v>2404</v>
      </c>
      <c r="B406">
        <v>3404</v>
      </c>
      <c r="C406" t="s">
        <v>183</v>
      </c>
      <c r="D406" t="s">
        <v>202</v>
      </c>
      <c r="E406" t="s">
        <v>205</v>
      </c>
      <c r="F406" t="s">
        <v>268</v>
      </c>
      <c r="G406">
        <v>542</v>
      </c>
      <c r="H406" t="s">
        <v>294</v>
      </c>
      <c r="I406">
        <v>505</v>
      </c>
      <c r="J406" t="s">
        <v>229</v>
      </c>
      <c r="K406">
        <v>1</v>
      </c>
      <c r="L406" s="34">
        <v>45902.86041666667</v>
      </c>
      <c r="M406" s="34">
        <v>45902.861805555556</v>
      </c>
      <c r="N406">
        <v>121</v>
      </c>
      <c r="O406">
        <v>45</v>
      </c>
      <c r="P406">
        <v>84</v>
      </c>
      <c r="Q406" s="45">
        <v>33.415710591187995</v>
      </c>
      <c r="R406" t="s">
        <v>82</v>
      </c>
      <c r="S406">
        <v>9</v>
      </c>
    </row>
    <row r="407" spans="1:19">
      <c r="A407">
        <v>2405</v>
      </c>
      <c r="B407">
        <v>3405</v>
      </c>
      <c r="C407" t="s">
        <v>217</v>
      </c>
      <c r="D407" t="s">
        <v>207</v>
      </c>
      <c r="E407" t="s">
        <v>275</v>
      </c>
      <c r="F407" t="s">
        <v>269</v>
      </c>
      <c r="G407">
        <v>728</v>
      </c>
      <c r="H407" t="s">
        <v>282</v>
      </c>
      <c r="I407">
        <v>390</v>
      </c>
      <c r="J407" t="s">
        <v>179</v>
      </c>
      <c r="K407">
        <v>2</v>
      </c>
      <c r="L407" s="34">
        <v>45710.094444444447</v>
      </c>
      <c r="M407" s="34">
        <v>45710.095138888886</v>
      </c>
      <c r="N407">
        <v>65</v>
      </c>
      <c r="O407">
        <v>51</v>
      </c>
      <c r="P407">
        <v>81</v>
      </c>
      <c r="Q407" s="45">
        <v>15.35945583824417</v>
      </c>
      <c r="R407" t="s">
        <v>75</v>
      </c>
      <c r="S407">
        <v>48</v>
      </c>
    </row>
    <row r="408" spans="1:19">
      <c r="A408">
        <v>2406</v>
      </c>
      <c r="B408">
        <v>3406</v>
      </c>
      <c r="C408" t="s">
        <v>190</v>
      </c>
      <c r="D408" t="s">
        <v>84</v>
      </c>
      <c r="E408" t="s">
        <v>177</v>
      </c>
      <c r="F408" t="s">
        <v>269</v>
      </c>
      <c r="G408">
        <v>396</v>
      </c>
      <c r="H408" t="s">
        <v>290</v>
      </c>
      <c r="I408">
        <v>723</v>
      </c>
      <c r="J408" t="s">
        <v>213</v>
      </c>
      <c r="K408">
        <v>3</v>
      </c>
      <c r="L408" s="34">
        <v>45906.873611111114</v>
      </c>
      <c r="M408" s="34">
        <v>45906.875694444447</v>
      </c>
      <c r="N408">
        <v>224</v>
      </c>
      <c r="O408">
        <v>88</v>
      </c>
      <c r="P408">
        <v>80</v>
      </c>
      <c r="Q408" s="45">
        <v>43.76355556743485</v>
      </c>
      <c r="R408" t="s">
        <v>75</v>
      </c>
      <c r="S408">
        <v>18</v>
      </c>
    </row>
    <row r="409" spans="1:19">
      <c r="A409">
        <v>2407</v>
      </c>
      <c r="B409">
        <v>3407</v>
      </c>
      <c r="C409" t="s">
        <v>175</v>
      </c>
      <c r="D409" t="s">
        <v>224</v>
      </c>
      <c r="E409" t="s">
        <v>197</v>
      </c>
      <c r="F409" t="s">
        <v>273</v>
      </c>
      <c r="G409">
        <v>364</v>
      </c>
      <c r="H409" t="s">
        <v>296</v>
      </c>
      <c r="I409">
        <v>272</v>
      </c>
      <c r="J409" t="s">
        <v>254</v>
      </c>
      <c r="K409">
        <v>1</v>
      </c>
      <c r="L409" s="34">
        <v>45670.913888888892</v>
      </c>
      <c r="M409" s="34">
        <v>45670.920138888891</v>
      </c>
      <c r="N409">
        <v>540</v>
      </c>
      <c r="O409">
        <v>20</v>
      </c>
      <c r="P409">
        <v>98</v>
      </c>
      <c r="Q409" s="45">
        <v>91.6871557958236</v>
      </c>
      <c r="R409" t="s">
        <v>82</v>
      </c>
      <c r="S409">
        <v>12</v>
      </c>
    </row>
    <row r="410" spans="1:19">
      <c r="A410">
        <v>2408</v>
      </c>
      <c r="B410">
        <v>3408</v>
      </c>
      <c r="C410" t="s">
        <v>78</v>
      </c>
      <c r="D410" t="s">
        <v>84</v>
      </c>
      <c r="E410" t="s">
        <v>197</v>
      </c>
      <c r="F410" t="s">
        <v>262</v>
      </c>
      <c r="G410">
        <v>577</v>
      </c>
      <c r="H410" t="s">
        <v>297</v>
      </c>
      <c r="I410">
        <v>369</v>
      </c>
      <c r="J410" t="s">
        <v>254</v>
      </c>
      <c r="K410">
        <v>1</v>
      </c>
      <c r="L410" s="34">
        <v>45665.28402777778</v>
      </c>
      <c r="M410" s="34">
        <v>45665.284722222219</v>
      </c>
      <c r="N410">
        <v>64</v>
      </c>
      <c r="O410">
        <v>55</v>
      </c>
      <c r="P410">
        <v>80</v>
      </c>
      <c r="Q410" s="45">
        <v>10</v>
      </c>
      <c r="R410" t="s">
        <v>75</v>
      </c>
      <c r="S410">
        <v>35</v>
      </c>
    </row>
    <row r="411" spans="1:19">
      <c r="A411">
        <v>2409</v>
      </c>
      <c r="B411">
        <v>3409</v>
      </c>
      <c r="C411" t="s">
        <v>188</v>
      </c>
      <c r="D411" t="s">
        <v>186</v>
      </c>
      <c r="E411" t="s">
        <v>274</v>
      </c>
      <c r="F411" t="s">
        <v>268</v>
      </c>
      <c r="G411">
        <v>657</v>
      </c>
      <c r="H411" t="s">
        <v>292</v>
      </c>
      <c r="I411">
        <v>400</v>
      </c>
      <c r="J411" t="s">
        <v>257</v>
      </c>
      <c r="K411">
        <v>2</v>
      </c>
      <c r="L411" s="34">
        <v>45919.53402777778</v>
      </c>
      <c r="M411" s="34">
        <v>45919.538194444445</v>
      </c>
      <c r="N411">
        <v>390</v>
      </c>
      <c r="O411">
        <v>8</v>
      </c>
      <c r="P411">
        <v>51</v>
      </c>
      <c r="Q411" s="45">
        <v>73.553324518335828</v>
      </c>
      <c r="R411" t="s">
        <v>82</v>
      </c>
      <c r="S411">
        <v>8</v>
      </c>
    </row>
    <row r="412" spans="1:19">
      <c r="A412">
        <v>2410</v>
      </c>
      <c r="B412">
        <v>3410</v>
      </c>
      <c r="C412" t="s">
        <v>159</v>
      </c>
      <c r="D412" t="s">
        <v>176</v>
      </c>
      <c r="E412" t="s">
        <v>275</v>
      </c>
      <c r="F412" t="s">
        <v>273</v>
      </c>
      <c r="G412">
        <v>600</v>
      </c>
      <c r="H412" t="s">
        <v>294</v>
      </c>
      <c r="I412">
        <v>448</v>
      </c>
      <c r="J412" t="s">
        <v>252</v>
      </c>
      <c r="K412">
        <v>1</v>
      </c>
      <c r="L412" s="34">
        <v>45670.414583333331</v>
      </c>
      <c r="M412" s="34">
        <v>45670.418055555558</v>
      </c>
      <c r="N412">
        <v>306</v>
      </c>
      <c r="O412">
        <v>10</v>
      </c>
      <c r="P412">
        <v>52</v>
      </c>
      <c r="Q412" s="45">
        <v>67.455455678762576</v>
      </c>
      <c r="R412" t="s">
        <v>82</v>
      </c>
      <c r="S412">
        <v>15</v>
      </c>
    </row>
    <row r="413" spans="1:19">
      <c r="A413">
        <v>2411</v>
      </c>
      <c r="B413">
        <v>3411</v>
      </c>
      <c r="C413" t="s">
        <v>199</v>
      </c>
      <c r="D413" t="s">
        <v>176</v>
      </c>
      <c r="E413" t="s">
        <v>274</v>
      </c>
      <c r="F413" t="s">
        <v>157</v>
      </c>
      <c r="G413">
        <v>566</v>
      </c>
      <c r="H413" t="s">
        <v>280</v>
      </c>
      <c r="I413">
        <v>377</v>
      </c>
      <c r="J413" t="s">
        <v>198</v>
      </c>
      <c r="K413">
        <v>3</v>
      </c>
      <c r="L413" s="34">
        <v>45788.019444444442</v>
      </c>
      <c r="M413" s="34">
        <v>45788.020138888889</v>
      </c>
      <c r="N413">
        <v>66</v>
      </c>
      <c r="O413">
        <v>62</v>
      </c>
      <c r="P413">
        <v>62</v>
      </c>
      <c r="Q413" s="45">
        <v>22.617669668140667</v>
      </c>
      <c r="R413" t="s">
        <v>75</v>
      </c>
      <c r="S413">
        <v>30</v>
      </c>
    </row>
    <row r="414" spans="1:19">
      <c r="A414">
        <v>2412</v>
      </c>
      <c r="B414">
        <v>3412</v>
      </c>
      <c r="C414" t="s">
        <v>78</v>
      </c>
      <c r="D414" t="s">
        <v>241</v>
      </c>
      <c r="E414" t="s">
        <v>274</v>
      </c>
      <c r="F414" t="s">
        <v>267</v>
      </c>
      <c r="G414">
        <v>832</v>
      </c>
      <c r="H414" t="s">
        <v>286</v>
      </c>
      <c r="I414">
        <v>558</v>
      </c>
      <c r="J414" t="s">
        <v>231</v>
      </c>
      <c r="K414">
        <v>3</v>
      </c>
      <c r="L414" s="34">
        <v>45806.913194444445</v>
      </c>
      <c r="M414" s="34">
        <v>45806.919444444444</v>
      </c>
      <c r="N414">
        <v>550</v>
      </c>
      <c r="O414">
        <v>98</v>
      </c>
      <c r="P414">
        <v>83</v>
      </c>
      <c r="Q414" s="45">
        <v>93.049256322711912</v>
      </c>
      <c r="R414" t="s">
        <v>75</v>
      </c>
      <c r="S414">
        <v>14</v>
      </c>
    </row>
    <row r="415" spans="1:19">
      <c r="A415">
        <v>2413</v>
      </c>
      <c r="B415">
        <v>3413</v>
      </c>
      <c r="C415" t="s">
        <v>251</v>
      </c>
      <c r="D415" t="s">
        <v>70</v>
      </c>
      <c r="E415" t="s">
        <v>187</v>
      </c>
      <c r="F415" t="s">
        <v>256</v>
      </c>
      <c r="G415">
        <v>325</v>
      </c>
      <c r="H415" t="s">
        <v>295</v>
      </c>
      <c r="I415">
        <v>327</v>
      </c>
      <c r="J415" t="s">
        <v>232</v>
      </c>
      <c r="K415">
        <v>1</v>
      </c>
      <c r="L415" s="34">
        <v>45907.117361111108</v>
      </c>
      <c r="M415" s="34">
        <v>45907.122916666667</v>
      </c>
      <c r="N415">
        <v>455</v>
      </c>
      <c r="O415">
        <v>30</v>
      </c>
      <c r="P415">
        <v>78</v>
      </c>
      <c r="Q415" s="45">
        <v>77.721095948638762</v>
      </c>
      <c r="R415" t="s">
        <v>82</v>
      </c>
      <c r="S415">
        <v>21</v>
      </c>
    </row>
    <row r="416" spans="1:19">
      <c r="A416">
        <v>2414</v>
      </c>
      <c r="B416">
        <v>3414</v>
      </c>
      <c r="C416" t="s">
        <v>253</v>
      </c>
      <c r="D416" t="s">
        <v>70</v>
      </c>
      <c r="E416" t="s">
        <v>197</v>
      </c>
      <c r="F416" t="s">
        <v>255</v>
      </c>
      <c r="G416">
        <v>642</v>
      </c>
      <c r="H416" t="s">
        <v>299</v>
      </c>
      <c r="I416">
        <v>704</v>
      </c>
      <c r="J416" t="s">
        <v>213</v>
      </c>
      <c r="K416">
        <v>2</v>
      </c>
      <c r="L416" s="34">
        <v>45732.862500000003</v>
      </c>
      <c r="M416" s="34">
        <v>45732.865972222222</v>
      </c>
      <c r="N416">
        <v>275</v>
      </c>
      <c r="O416">
        <v>99</v>
      </c>
      <c r="P416">
        <v>81</v>
      </c>
      <c r="Q416" s="45">
        <v>55.445738480887393</v>
      </c>
      <c r="R416" t="s">
        <v>75</v>
      </c>
      <c r="S416">
        <v>34</v>
      </c>
    </row>
    <row r="417" spans="1:19">
      <c r="A417">
        <v>2415</v>
      </c>
      <c r="B417">
        <v>3415</v>
      </c>
      <c r="C417" t="s">
        <v>251</v>
      </c>
      <c r="D417" t="s">
        <v>241</v>
      </c>
      <c r="E417" t="s">
        <v>160</v>
      </c>
      <c r="F417" t="s">
        <v>268</v>
      </c>
      <c r="G417">
        <v>719</v>
      </c>
      <c r="H417" t="s">
        <v>297</v>
      </c>
      <c r="I417">
        <v>127</v>
      </c>
      <c r="J417" t="s">
        <v>179</v>
      </c>
      <c r="K417">
        <v>1</v>
      </c>
      <c r="L417" s="34">
        <v>45924.754861111112</v>
      </c>
      <c r="M417" s="34">
        <v>45924.759722222225</v>
      </c>
      <c r="N417">
        <v>434</v>
      </c>
      <c r="O417">
        <v>58</v>
      </c>
      <c r="P417">
        <v>62</v>
      </c>
      <c r="Q417" s="45">
        <v>86.403902551269184</v>
      </c>
      <c r="R417" t="s">
        <v>75</v>
      </c>
      <c r="S417">
        <v>19</v>
      </c>
    </row>
    <row r="418" spans="1:19">
      <c r="A418">
        <v>2416</v>
      </c>
      <c r="B418">
        <v>3416</v>
      </c>
      <c r="C418" t="s">
        <v>163</v>
      </c>
      <c r="D418" t="s">
        <v>168</v>
      </c>
      <c r="E418" t="s">
        <v>205</v>
      </c>
      <c r="F418" t="s">
        <v>239</v>
      </c>
      <c r="G418">
        <v>244</v>
      </c>
      <c r="H418" t="s">
        <v>298</v>
      </c>
      <c r="I418">
        <v>655</v>
      </c>
      <c r="J418" t="s">
        <v>231</v>
      </c>
      <c r="K418">
        <v>2</v>
      </c>
      <c r="L418" s="34">
        <v>45957.564583333333</v>
      </c>
      <c r="M418" s="34">
        <v>45957.567361111112</v>
      </c>
      <c r="N418">
        <v>257</v>
      </c>
      <c r="O418">
        <v>60</v>
      </c>
      <c r="P418">
        <v>85</v>
      </c>
      <c r="Q418" s="45">
        <v>41.878771431630817</v>
      </c>
      <c r="R418" t="s">
        <v>75</v>
      </c>
      <c r="S418">
        <v>20</v>
      </c>
    </row>
    <row r="419" spans="1:19">
      <c r="A419">
        <v>2417</v>
      </c>
      <c r="B419">
        <v>3417</v>
      </c>
      <c r="C419" t="s">
        <v>159</v>
      </c>
      <c r="D419" t="s">
        <v>249</v>
      </c>
      <c r="E419" t="s">
        <v>177</v>
      </c>
      <c r="F419" t="s">
        <v>270</v>
      </c>
      <c r="G419">
        <v>298</v>
      </c>
      <c r="H419" t="s">
        <v>276</v>
      </c>
      <c r="I419">
        <v>989</v>
      </c>
      <c r="J419" t="s">
        <v>193</v>
      </c>
      <c r="K419">
        <v>2</v>
      </c>
      <c r="L419" s="34">
        <v>45869.15625</v>
      </c>
      <c r="M419" s="34">
        <v>45869.158333333333</v>
      </c>
      <c r="N419">
        <v>181</v>
      </c>
      <c r="O419">
        <v>86</v>
      </c>
      <c r="P419">
        <v>75</v>
      </c>
      <c r="Q419" s="45">
        <v>29.737502040653979</v>
      </c>
      <c r="R419" t="s">
        <v>75</v>
      </c>
      <c r="S419">
        <v>40</v>
      </c>
    </row>
    <row r="420" spans="1:19">
      <c r="A420">
        <v>2418</v>
      </c>
      <c r="B420">
        <v>3418</v>
      </c>
      <c r="C420" t="s">
        <v>227</v>
      </c>
      <c r="D420" t="s">
        <v>164</v>
      </c>
      <c r="E420" t="s">
        <v>209</v>
      </c>
      <c r="F420" t="s">
        <v>255</v>
      </c>
      <c r="G420">
        <v>764</v>
      </c>
      <c r="H420" t="s">
        <v>277</v>
      </c>
      <c r="I420">
        <v>803</v>
      </c>
      <c r="J420" t="s">
        <v>246</v>
      </c>
      <c r="K420">
        <v>2</v>
      </c>
      <c r="L420" s="34">
        <v>45666.042361111111</v>
      </c>
      <c r="M420" s="34">
        <v>45666.048611111109</v>
      </c>
      <c r="N420">
        <v>543</v>
      </c>
      <c r="O420">
        <v>32</v>
      </c>
      <c r="P420">
        <v>91</v>
      </c>
      <c r="Q420" s="45">
        <v>85.220767907675139</v>
      </c>
      <c r="R420" t="s">
        <v>82</v>
      </c>
      <c r="S420">
        <v>6</v>
      </c>
    </row>
    <row r="421" spans="1:19">
      <c r="A421">
        <v>2419</v>
      </c>
      <c r="B421">
        <v>3419</v>
      </c>
      <c r="C421" t="s">
        <v>223</v>
      </c>
      <c r="D421" t="s">
        <v>84</v>
      </c>
      <c r="E421" t="s">
        <v>275</v>
      </c>
      <c r="F421" t="s">
        <v>157</v>
      </c>
      <c r="G421">
        <v>882</v>
      </c>
      <c r="H421" t="s">
        <v>276</v>
      </c>
      <c r="I421">
        <v>476</v>
      </c>
      <c r="J421" t="s">
        <v>254</v>
      </c>
      <c r="K421">
        <v>1</v>
      </c>
      <c r="L421" s="34">
        <v>45810.734722222223</v>
      </c>
      <c r="M421" s="34">
        <v>45810.738194444442</v>
      </c>
      <c r="N421">
        <v>287</v>
      </c>
      <c r="O421">
        <v>21</v>
      </c>
      <c r="P421">
        <v>53</v>
      </c>
      <c r="Q421" s="45">
        <v>55.110975377518542</v>
      </c>
      <c r="R421" t="s">
        <v>82</v>
      </c>
      <c r="S421">
        <v>31</v>
      </c>
    </row>
    <row r="422" spans="1:19">
      <c r="A422">
        <v>2420</v>
      </c>
      <c r="B422">
        <v>3420</v>
      </c>
      <c r="C422" t="s">
        <v>163</v>
      </c>
      <c r="D422" t="s">
        <v>168</v>
      </c>
      <c r="E422" t="s">
        <v>205</v>
      </c>
      <c r="F422" t="s">
        <v>271</v>
      </c>
      <c r="G422">
        <v>908</v>
      </c>
      <c r="H422" t="s">
        <v>280</v>
      </c>
      <c r="I422">
        <v>621</v>
      </c>
      <c r="J422" t="s">
        <v>235</v>
      </c>
      <c r="K422">
        <v>1</v>
      </c>
      <c r="L422" s="34">
        <v>45941.795138888891</v>
      </c>
      <c r="M422" s="34">
        <v>45941.8</v>
      </c>
      <c r="N422">
        <v>415</v>
      </c>
      <c r="O422">
        <v>7</v>
      </c>
      <c r="P422">
        <v>84</v>
      </c>
      <c r="Q422" s="45">
        <v>77.929335839709253</v>
      </c>
      <c r="R422" t="s">
        <v>82</v>
      </c>
      <c r="S422">
        <v>41</v>
      </c>
    </row>
    <row r="423" spans="1:19">
      <c r="A423">
        <v>2421</v>
      </c>
      <c r="B423">
        <v>3421</v>
      </c>
      <c r="C423" t="s">
        <v>214</v>
      </c>
      <c r="D423" t="s">
        <v>215</v>
      </c>
      <c r="E423" t="s">
        <v>275</v>
      </c>
      <c r="F423" t="s">
        <v>203</v>
      </c>
      <c r="G423">
        <v>391</v>
      </c>
      <c r="H423" t="s">
        <v>277</v>
      </c>
      <c r="I423">
        <v>521</v>
      </c>
      <c r="J423" t="s">
        <v>252</v>
      </c>
      <c r="K423">
        <v>1</v>
      </c>
      <c r="L423" s="34">
        <v>45728.109722222223</v>
      </c>
      <c r="M423" s="34">
        <v>45728.11041666667</v>
      </c>
      <c r="N423">
        <v>68</v>
      </c>
      <c r="O423">
        <v>92</v>
      </c>
      <c r="P423">
        <v>51</v>
      </c>
      <c r="Q423" s="45">
        <v>10</v>
      </c>
      <c r="R423" t="s">
        <v>75</v>
      </c>
      <c r="S423">
        <v>28</v>
      </c>
    </row>
    <row r="424" spans="1:19">
      <c r="A424">
        <v>2422</v>
      </c>
      <c r="B424">
        <v>3422</v>
      </c>
      <c r="C424" t="s">
        <v>167</v>
      </c>
      <c r="D424" t="s">
        <v>195</v>
      </c>
      <c r="E424" t="s">
        <v>177</v>
      </c>
      <c r="F424" t="s">
        <v>181</v>
      </c>
      <c r="G424">
        <v>800</v>
      </c>
      <c r="H424" t="s">
        <v>288</v>
      </c>
      <c r="I424">
        <v>861</v>
      </c>
      <c r="J424" t="s">
        <v>218</v>
      </c>
      <c r="K424">
        <v>2</v>
      </c>
      <c r="L424" s="34">
        <v>45759.09375</v>
      </c>
      <c r="M424" s="34">
        <v>45759.099305555559</v>
      </c>
      <c r="N424">
        <v>424</v>
      </c>
      <c r="O424">
        <v>0</v>
      </c>
      <c r="P424">
        <v>55</v>
      </c>
      <c r="Q424" s="45">
        <v>69.534531529050128</v>
      </c>
      <c r="R424" t="s">
        <v>82</v>
      </c>
      <c r="S424">
        <v>14</v>
      </c>
    </row>
    <row r="425" spans="1:19">
      <c r="A425">
        <v>2423</v>
      </c>
      <c r="B425">
        <v>3423</v>
      </c>
      <c r="C425" t="s">
        <v>251</v>
      </c>
      <c r="D425" t="s">
        <v>249</v>
      </c>
      <c r="E425" t="s">
        <v>169</v>
      </c>
      <c r="F425" t="s">
        <v>259</v>
      </c>
      <c r="G425">
        <v>473</v>
      </c>
      <c r="H425" t="s">
        <v>292</v>
      </c>
      <c r="I425">
        <v>201</v>
      </c>
      <c r="J425" t="s">
        <v>171</v>
      </c>
      <c r="K425">
        <v>1</v>
      </c>
      <c r="L425" s="34">
        <v>45826.117361111108</v>
      </c>
      <c r="M425" s="34">
        <v>45826.120138888888</v>
      </c>
      <c r="N425">
        <v>203</v>
      </c>
      <c r="O425">
        <v>14</v>
      </c>
      <c r="P425">
        <v>67</v>
      </c>
      <c r="Q425" s="45">
        <v>34.992802099205676</v>
      </c>
      <c r="R425" t="s">
        <v>82</v>
      </c>
      <c r="S425">
        <v>18</v>
      </c>
    </row>
    <row r="426" spans="1:19">
      <c r="A426">
        <v>2424</v>
      </c>
      <c r="B426">
        <v>3424</v>
      </c>
      <c r="C426" t="s">
        <v>175</v>
      </c>
      <c r="D426" t="s">
        <v>156</v>
      </c>
      <c r="E426" t="s">
        <v>209</v>
      </c>
      <c r="F426" t="s">
        <v>269</v>
      </c>
      <c r="G426">
        <v>761</v>
      </c>
      <c r="H426" t="s">
        <v>278</v>
      </c>
      <c r="I426">
        <v>620</v>
      </c>
      <c r="J426" t="s">
        <v>213</v>
      </c>
      <c r="K426">
        <v>1</v>
      </c>
      <c r="L426" s="34">
        <v>45661.672222222223</v>
      </c>
      <c r="M426" s="34">
        <v>45661.678472222222</v>
      </c>
      <c r="N426">
        <v>558</v>
      </c>
      <c r="O426">
        <v>5</v>
      </c>
      <c r="P426">
        <v>96</v>
      </c>
      <c r="Q426" s="45">
        <v>99.793118689520909</v>
      </c>
      <c r="R426" t="s">
        <v>82</v>
      </c>
      <c r="S426">
        <v>30</v>
      </c>
    </row>
    <row r="427" spans="1:19">
      <c r="A427">
        <v>2425</v>
      </c>
      <c r="B427">
        <v>3425</v>
      </c>
      <c r="C427" t="s">
        <v>188</v>
      </c>
      <c r="D427" t="s">
        <v>164</v>
      </c>
      <c r="E427" t="s">
        <v>177</v>
      </c>
      <c r="F427" t="s">
        <v>268</v>
      </c>
      <c r="G427">
        <v>924</v>
      </c>
      <c r="H427" t="s">
        <v>288</v>
      </c>
      <c r="I427">
        <v>741</v>
      </c>
      <c r="J427" t="s">
        <v>166</v>
      </c>
      <c r="K427">
        <v>1</v>
      </c>
      <c r="L427" s="34">
        <v>45908.845138888886</v>
      </c>
      <c r="M427" s="34">
        <v>45908.850694444445</v>
      </c>
      <c r="N427">
        <v>494</v>
      </c>
      <c r="O427">
        <v>35</v>
      </c>
      <c r="P427">
        <v>95</v>
      </c>
      <c r="Q427" s="45">
        <v>90.619448281651486</v>
      </c>
      <c r="R427" t="s">
        <v>82</v>
      </c>
      <c r="S427">
        <v>45</v>
      </c>
    </row>
    <row r="428" spans="1:19">
      <c r="A428">
        <v>2426</v>
      </c>
      <c r="B428">
        <v>3426</v>
      </c>
      <c r="C428" t="s">
        <v>245</v>
      </c>
      <c r="D428" t="s">
        <v>186</v>
      </c>
      <c r="E428" t="s">
        <v>275</v>
      </c>
      <c r="F428" t="s">
        <v>260</v>
      </c>
      <c r="G428">
        <v>483</v>
      </c>
      <c r="H428" t="s">
        <v>287</v>
      </c>
      <c r="I428">
        <v>958</v>
      </c>
      <c r="J428" t="s">
        <v>210</v>
      </c>
      <c r="K428">
        <v>3</v>
      </c>
      <c r="L428" s="34">
        <v>45980.398611111108</v>
      </c>
      <c r="M428" s="34">
        <v>45980.401388888888</v>
      </c>
      <c r="N428">
        <v>207</v>
      </c>
      <c r="O428">
        <v>56</v>
      </c>
      <c r="P428">
        <v>99</v>
      </c>
      <c r="Q428" s="45">
        <v>39.463428097361323</v>
      </c>
      <c r="R428" t="s">
        <v>82</v>
      </c>
      <c r="S428">
        <v>17</v>
      </c>
    </row>
    <row r="429" spans="1:19">
      <c r="A429">
        <v>2427</v>
      </c>
      <c r="B429">
        <v>3427</v>
      </c>
      <c r="C429" t="s">
        <v>175</v>
      </c>
      <c r="D429" t="s">
        <v>84</v>
      </c>
      <c r="E429" t="s">
        <v>169</v>
      </c>
      <c r="F429" t="s">
        <v>157</v>
      </c>
      <c r="G429">
        <v>758</v>
      </c>
      <c r="H429" t="s">
        <v>289</v>
      </c>
      <c r="I429">
        <v>444</v>
      </c>
      <c r="J429" t="s">
        <v>272</v>
      </c>
      <c r="K429">
        <v>3</v>
      </c>
      <c r="L429" s="34">
        <v>45757.253472222219</v>
      </c>
      <c r="M429" s="34">
        <v>45757.256249999999</v>
      </c>
      <c r="N429">
        <v>268</v>
      </c>
      <c r="O429">
        <v>84</v>
      </c>
      <c r="P429">
        <v>89</v>
      </c>
      <c r="Q429" s="45">
        <v>59.989662127916731</v>
      </c>
      <c r="R429" t="s">
        <v>75</v>
      </c>
      <c r="S429">
        <v>41</v>
      </c>
    </row>
    <row r="430" spans="1:19">
      <c r="A430">
        <v>2428</v>
      </c>
      <c r="B430">
        <v>3428</v>
      </c>
      <c r="C430" t="s">
        <v>183</v>
      </c>
      <c r="D430" t="s">
        <v>195</v>
      </c>
      <c r="E430" t="s">
        <v>187</v>
      </c>
      <c r="F430" t="s">
        <v>268</v>
      </c>
      <c r="G430">
        <v>275</v>
      </c>
      <c r="H430" t="s">
        <v>304</v>
      </c>
      <c r="I430">
        <v>370</v>
      </c>
      <c r="J430" t="s">
        <v>240</v>
      </c>
      <c r="K430">
        <v>2</v>
      </c>
      <c r="L430" s="34">
        <v>45775.511111111111</v>
      </c>
      <c r="M430" s="34">
        <v>45775.515277777777</v>
      </c>
      <c r="N430">
        <v>365</v>
      </c>
      <c r="O430">
        <v>66</v>
      </c>
      <c r="P430">
        <v>71</v>
      </c>
      <c r="Q430" s="45">
        <v>52.896929057468569</v>
      </c>
      <c r="R430" t="s">
        <v>75</v>
      </c>
      <c r="S430">
        <v>39</v>
      </c>
    </row>
    <row r="431" spans="1:19">
      <c r="A431">
        <v>2429</v>
      </c>
      <c r="B431">
        <v>3429</v>
      </c>
      <c r="C431" t="s">
        <v>172</v>
      </c>
      <c r="D431" t="s">
        <v>261</v>
      </c>
      <c r="E431" t="s">
        <v>275</v>
      </c>
      <c r="F431" t="s">
        <v>239</v>
      </c>
      <c r="G431">
        <v>148</v>
      </c>
      <c r="H431" t="s">
        <v>300</v>
      </c>
      <c r="I431">
        <v>882</v>
      </c>
      <c r="J431" t="s">
        <v>229</v>
      </c>
      <c r="K431">
        <v>2</v>
      </c>
      <c r="L431" s="34">
        <v>45988.78125</v>
      </c>
      <c r="M431" s="34">
        <v>45988.784722222219</v>
      </c>
      <c r="N431">
        <v>303</v>
      </c>
      <c r="O431">
        <v>31</v>
      </c>
      <c r="P431">
        <v>72</v>
      </c>
      <c r="Q431" s="45">
        <v>44.993369240889209</v>
      </c>
      <c r="R431" t="s">
        <v>82</v>
      </c>
      <c r="S431">
        <v>20</v>
      </c>
    </row>
    <row r="432" spans="1:19">
      <c r="A432">
        <v>2430</v>
      </c>
      <c r="B432">
        <v>3430</v>
      </c>
      <c r="C432" t="s">
        <v>172</v>
      </c>
      <c r="D432" t="s">
        <v>249</v>
      </c>
      <c r="E432" t="s">
        <v>177</v>
      </c>
      <c r="F432" t="s">
        <v>269</v>
      </c>
      <c r="G432">
        <v>180</v>
      </c>
      <c r="H432" t="s">
        <v>290</v>
      </c>
      <c r="I432">
        <v>302</v>
      </c>
      <c r="J432" t="s">
        <v>236</v>
      </c>
      <c r="K432">
        <v>3</v>
      </c>
      <c r="L432" s="34">
        <v>45981.699305555558</v>
      </c>
      <c r="M432" s="34">
        <v>45981.703472222223</v>
      </c>
      <c r="N432">
        <v>328</v>
      </c>
      <c r="O432">
        <v>97</v>
      </c>
      <c r="P432">
        <v>100</v>
      </c>
      <c r="Q432" s="45">
        <v>68.48899083806424</v>
      </c>
      <c r="R432" t="s">
        <v>75</v>
      </c>
      <c r="S432">
        <v>32</v>
      </c>
    </row>
    <row r="433" spans="1:19">
      <c r="A433">
        <v>2431</v>
      </c>
      <c r="B433">
        <v>3431</v>
      </c>
      <c r="C433" t="s">
        <v>172</v>
      </c>
      <c r="D433" t="s">
        <v>186</v>
      </c>
      <c r="E433" t="s">
        <v>197</v>
      </c>
      <c r="F433" t="s">
        <v>157</v>
      </c>
      <c r="G433">
        <v>662</v>
      </c>
      <c r="H433" t="s">
        <v>286</v>
      </c>
      <c r="I433">
        <v>246</v>
      </c>
      <c r="J433" t="s">
        <v>244</v>
      </c>
      <c r="K433">
        <v>3</v>
      </c>
      <c r="L433" s="34">
        <v>45705.67291666667</v>
      </c>
      <c r="M433" s="34">
        <v>45705.675000000003</v>
      </c>
      <c r="N433">
        <v>201</v>
      </c>
      <c r="O433">
        <v>17</v>
      </c>
      <c r="P433">
        <v>55</v>
      </c>
      <c r="Q433" s="45">
        <v>33.66278554717082</v>
      </c>
      <c r="R433" t="s">
        <v>82</v>
      </c>
      <c r="S433">
        <v>35</v>
      </c>
    </row>
    <row r="434" spans="1:19">
      <c r="A434">
        <v>2432</v>
      </c>
      <c r="B434">
        <v>3432</v>
      </c>
      <c r="C434" t="s">
        <v>188</v>
      </c>
      <c r="D434" t="s">
        <v>241</v>
      </c>
      <c r="E434" t="s">
        <v>274</v>
      </c>
      <c r="F434" t="s">
        <v>273</v>
      </c>
      <c r="G434">
        <v>884</v>
      </c>
      <c r="H434" t="s">
        <v>279</v>
      </c>
      <c r="I434">
        <v>376</v>
      </c>
      <c r="J434" t="s">
        <v>162</v>
      </c>
      <c r="K434">
        <v>2</v>
      </c>
      <c r="L434" s="34">
        <v>45921.044444444444</v>
      </c>
      <c r="M434" s="34">
        <v>45921.05</v>
      </c>
      <c r="N434">
        <v>505</v>
      </c>
      <c r="O434">
        <v>74</v>
      </c>
      <c r="P434">
        <v>68</v>
      </c>
      <c r="Q434" s="45">
        <v>91.124424879221095</v>
      </c>
      <c r="R434" t="s">
        <v>75</v>
      </c>
      <c r="S434">
        <v>35</v>
      </c>
    </row>
    <row r="435" spans="1:19">
      <c r="A435">
        <v>2433</v>
      </c>
      <c r="B435">
        <v>3433</v>
      </c>
      <c r="C435" t="s">
        <v>251</v>
      </c>
      <c r="D435" t="s">
        <v>241</v>
      </c>
      <c r="E435" t="s">
        <v>177</v>
      </c>
      <c r="F435" t="s">
        <v>258</v>
      </c>
      <c r="G435">
        <v>580</v>
      </c>
      <c r="H435" t="s">
        <v>286</v>
      </c>
      <c r="I435">
        <v>586</v>
      </c>
      <c r="J435" t="s">
        <v>230</v>
      </c>
      <c r="K435">
        <v>3</v>
      </c>
      <c r="L435" s="34">
        <v>45974.433333333334</v>
      </c>
      <c r="M435" s="34">
        <v>45974.436805555553</v>
      </c>
      <c r="N435">
        <v>294</v>
      </c>
      <c r="O435">
        <v>27</v>
      </c>
      <c r="P435">
        <v>96</v>
      </c>
      <c r="Q435" s="45">
        <v>63.255829825816342</v>
      </c>
      <c r="R435" t="s">
        <v>82</v>
      </c>
      <c r="S435">
        <v>13</v>
      </c>
    </row>
    <row r="436" spans="1:19">
      <c r="A436">
        <v>2434</v>
      </c>
      <c r="B436">
        <v>3434</v>
      </c>
      <c r="C436" t="s">
        <v>214</v>
      </c>
      <c r="D436" t="s">
        <v>207</v>
      </c>
      <c r="E436" t="s">
        <v>187</v>
      </c>
      <c r="F436" t="s">
        <v>255</v>
      </c>
      <c r="G436">
        <v>270</v>
      </c>
      <c r="H436" t="s">
        <v>287</v>
      </c>
      <c r="I436">
        <v>490</v>
      </c>
      <c r="J436" t="s">
        <v>211</v>
      </c>
      <c r="K436">
        <v>2</v>
      </c>
      <c r="L436" s="34">
        <v>45951.005555555559</v>
      </c>
      <c r="M436" s="34">
        <v>45951.010416666664</v>
      </c>
      <c r="N436">
        <v>395</v>
      </c>
      <c r="O436">
        <v>49</v>
      </c>
      <c r="P436">
        <v>91</v>
      </c>
      <c r="Q436" s="45">
        <v>65.349387781405881</v>
      </c>
      <c r="R436" t="s">
        <v>82</v>
      </c>
      <c r="S436">
        <v>8</v>
      </c>
    </row>
    <row r="437" spans="1:19">
      <c r="A437">
        <v>2435</v>
      </c>
      <c r="B437">
        <v>3435</v>
      </c>
      <c r="C437" t="s">
        <v>172</v>
      </c>
      <c r="D437" t="s">
        <v>189</v>
      </c>
      <c r="E437" t="s">
        <v>205</v>
      </c>
      <c r="F437" t="s">
        <v>270</v>
      </c>
      <c r="G437">
        <v>315</v>
      </c>
      <c r="H437" t="s">
        <v>301</v>
      </c>
      <c r="I437">
        <v>260</v>
      </c>
      <c r="J437" t="s">
        <v>158</v>
      </c>
      <c r="K437">
        <v>3</v>
      </c>
      <c r="L437" s="34">
        <v>45876.54791666667</v>
      </c>
      <c r="M437" s="34">
        <v>45876.550694444442</v>
      </c>
      <c r="N437">
        <v>244</v>
      </c>
      <c r="O437">
        <v>10</v>
      </c>
      <c r="P437">
        <v>52</v>
      </c>
      <c r="Q437" s="45">
        <v>48.425200753130859</v>
      </c>
      <c r="R437" t="s">
        <v>82</v>
      </c>
      <c r="S437">
        <v>37</v>
      </c>
    </row>
    <row r="438" spans="1:19">
      <c r="A438">
        <v>2436</v>
      </c>
      <c r="B438">
        <v>3436</v>
      </c>
      <c r="C438" t="s">
        <v>188</v>
      </c>
      <c r="D438" t="s">
        <v>168</v>
      </c>
      <c r="E438" t="s">
        <v>274</v>
      </c>
      <c r="F438" t="s">
        <v>239</v>
      </c>
      <c r="G438">
        <v>252</v>
      </c>
      <c r="H438" t="s">
        <v>299</v>
      </c>
      <c r="I438">
        <v>858</v>
      </c>
      <c r="J438" t="s">
        <v>204</v>
      </c>
      <c r="K438">
        <v>1</v>
      </c>
      <c r="L438" s="34">
        <v>45807.820833333331</v>
      </c>
      <c r="M438" s="34">
        <v>45807.826388888891</v>
      </c>
      <c r="N438">
        <v>539</v>
      </c>
      <c r="O438">
        <v>77</v>
      </c>
      <c r="P438">
        <v>80</v>
      </c>
      <c r="Q438" s="45">
        <v>89.892693999066921</v>
      </c>
      <c r="R438" t="s">
        <v>75</v>
      </c>
      <c r="S438">
        <v>16</v>
      </c>
    </row>
    <row r="439" spans="1:19">
      <c r="A439">
        <v>2437</v>
      </c>
      <c r="B439">
        <v>3437</v>
      </c>
      <c r="C439" t="s">
        <v>78</v>
      </c>
      <c r="D439" t="s">
        <v>215</v>
      </c>
      <c r="E439" t="s">
        <v>275</v>
      </c>
      <c r="F439" t="s">
        <v>273</v>
      </c>
      <c r="G439">
        <v>392</v>
      </c>
      <c r="H439" t="s">
        <v>276</v>
      </c>
      <c r="I439">
        <v>319</v>
      </c>
      <c r="J439" t="s">
        <v>236</v>
      </c>
      <c r="K439">
        <v>2</v>
      </c>
      <c r="L439" s="34">
        <v>45714.90625</v>
      </c>
      <c r="M439" s="34">
        <v>45714.912499999999</v>
      </c>
      <c r="N439">
        <v>528</v>
      </c>
      <c r="O439">
        <v>19</v>
      </c>
      <c r="P439">
        <v>90</v>
      </c>
      <c r="Q439" s="45">
        <v>100</v>
      </c>
      <c r="R439" t="s">
        <v>82</v>
      </c>
      <c r="S439">
        <v>33</v>
      </c>
    </row>
    <row r="440" spans="1:19">
      <c r="A440">
        <v>2438</v>
      </c>
      <c r="B440">
        <v>3438</v>
      </c>
      <c r="C440" t="s">
        <v>159</v>
      </c>
      <c r="D440" t="s">
        <v>164</v>
      </c>
      <c r="E440" t="s">
        <v>160</v>
      </c>
      <c r="F440" t="s">
        <v>157</v>
      </c>
      <c r="G440">
        <v>352</v>
      </c>
      <c r="H440" t="s">
        <v>297</v>
      </c>
      <c r="I440">
        <v>610</v>
      </c>
      <c r="J440" t="s">
        <v>238</v>
      </c>
      <c r="K440">
        <v>1</v>
      </c>
      <c r="L440" s="34">
        <v>45964.277083333334</v>
      </c>
      <c r="M440" s="34">
        <v>45964.280555555553</v>
      </c>
      <c r="N440">
        <v>287</v>
      </c>
      <c r="O440">
        <v>37</v>
      </c>
      <c r="P440">
        <v>79</v>
      </c>
      <c r="Q440" s="45">
        <v>44.781150185244705</v>
      </c>
      <c r="R440" t="s">
        <v>82</v>
      </c>
      <c r="S440">
        <v>50</v>
      </c>
    </row>
    <row r="441" spans="1:19">
      <c r="A441">
        <v>2439</v>
      </c>
      <c r="B441">
        <v>3439</v>
      </c>
      <c r="C441" t="s">
        <v>155</v>
      </c>
      <c r="D441" t="s">
        <v>168</v>
      </c>
      <c r="E441" t="s">
        <v>205</v>
      </c>
      <c r="F441" t="s">
        <v>203</v>
      </c>
      <c r="G441">
        <v>314</v>
      </c>
      <c r="H441" t="s">
        <v>286</v>
      </c>
      <c r="I441">
        <v>406</v>
      </c>
      <c r="J441" t="s">
        <v>235</v>
      </c>
      <c r="K441">
        <v>2</v>
      </c>
      <c r="L441" s="34">
        <v>45746.114583333336</v>
      </c>
      <c r="M441" s="34">
        <v>45746.120833333334</v>
      </c>
      <c r="N441">
        <v>553</v>
      </c>
      <c r="O441">
        <v>64</v>
      </c>
      <c r="P441">
        <v>59</v>
      </c>
      <c r="Q441" s="45">
        <v>83.308470876511976</v>
      </c>
      <c r="R441" t="s">
        <v>75</v>
      </c>
      <c r="S441">
        <v>7</v>
      </c>
    </row>
    <row r="442" spans="1:19">
      <c r="A442">
        <v>2440</v>
      </c>
      <c r="B442">
        <v>3440</v>
      </c>
      <c r="C442" t="s">
        <v>253</v>
      </c>
      <c r="D442" t="s">
        <v>176</v>
      </c>
      <c r="E442" t="s">
        <v>275</v>
      </c>
      <c r="F442" t="s">
        <v>255</v>
      </c>
      <c r="G442">
        <v>234</v>
      </c>
      <c r="H442" t="s">
        <v>277</v>
      </c>
      <c r="I442">
        <v>552</v>
      </c>
      <c r="J442" t="s">
        <v>204</v>
      </c>
      <c r="K442">
        <v>2</v>
      </c>
      <c r="L442" s="34">
        <v>45785.30972222222</v>
      </c>
      <c r="M442" s="34">
        <v>45785.315972222219</v>
      </c>
      <c r="N442">
        <v>545</v>
      </c>
      <c r="O442">
        <v>49</v>
      </c>
      <c r="P442">
        <v>64</v>
      </c>
      <c r="Q442" s="45">
        <v>100</v>
      </c>
      <c r="R442" t="s">
        <v>75</v>
      </c>
      <c r="S442">
        <v>17</v>
      </c>
    </row>
    <row r="443" spans="1:19">
      <c r="A443">
        <v>2441</v>
      </c>
      <c r="B443">
        <v>3441</v>
      </c>
      <c r="C443" t="s">
        <v>175</v>
      </c>
      <c r="D443" t="s">
        <v>168</v>
      </c>
      <c r="E443" t="s">
        <v>177</v>
      </c>
      <c r="F443" t="s">
        <v>256</v>
      </c>
      <c r="G443">
        <v>223</v>
      </c>
      <c r="H443" t="s">
        <v>303</v>
      </c>
      <c r="I443">
        <v>800</v>
      </c>
      <c r="J443" t="s">
        <v>162</v>
      </c>
      <c r="K443">
        <v>1</v>
      </c>
      <c r="L443" s="34">
        <v>45955.609722222223</v>
      </c>
      <c r="M443" s="34">
        <v>45955.611805555556</v>
      </c>
      <c r="N443">
        <v>224</v>
      </c>
      <c r="O443">
        <v>45</v>
      </c>
      <c r="P443">
        <v>93</v>
      </c>
      <c r="Q443" s="45">
        <v>54.469921709620451</v>
      </c>
      <c r="R443" t="s">
        <v>82</v>
      </c>
      <c r="S443">
        <v>17</v>
      </c>
    </row>
    <row r="444" spans="1:19">
      <c r="A444">
        <v>2442</v>
      </c>
      <c r="B444">
        <v>3442</v>
      </c>
      <c r="C444" t="s">
        <v>217</v>
      </c>
      <c r="D444" t="s">
        <v>195</v>
      </c>
      <c r="E444" t="s">
        <v>275</v>
      </c>
      <c r="F444" t="s">
        <v>181</v>
      </c>
      <c r="G444">
        <v>933</v>
      </c>
      <c r="H444" t="s">
        <v>277</v>
      </c>
      <c r="I444">
        <v>211</v>
      </c>
      <c r="J444" t="s">
        <v>264</v>
      </c>
      <c r="K444">
        <v>3</v>
      </c>
      <c r="L444" s="34">
        <v>45791.957638888889</v>
      </c>
      <c r="M444" s="34">
        <v>45791.959722222222</v>
      </c>
      <c r="N444">
        <v>192</v>
      </c>
      <c r="O444">
        <v>38</v>
      </c>
      <c r="P444">
        <v>60</v>
      </c>
      <c r="Q444" s="45">
        <v>28.544395638583001</v>
      </c>
      <c r="R444" t="s">
        <v>75</v>
      </c>
      <c r="S444">
        <v>43</v>
      </c>
    </row>
    <row r="445" spans="1:19">
      <c r="A445">
        <v>2443</v>
      </c>
      <c r="B445">
        <v>3443</v>
      </c>
      <c r="C445" t="s">
        <v>199</v>
      </c>
      <c r="D445" t="s">
        <v>70</v>
      </c>
      <c r="E445" t="s">
        <v>160</v>
      </c>
      <c r="F445" t="s">
        <v>255</v>
      </c>
      <c r="G445">
        <v>420</v>
      </c>
      <c r="H445" t="s">
        <v>297</v>
      </c>
      <c r="I445">
        <v>954</v>
      </c>
      <c r="J445" t="s">
        <v>240</v>
      </c>
      <c r="K445">
        <v>2</v>
      </c>
      <c r="L445" s="34">
        <v>45739.415277777778</v>
      </c>
      <c r="M445" s="34">
        <v>45739.417361111111</v>
      </c>
      <c r="N445">
        <v>213</v>
      </c>
      <c r="O445">
        <v>83</v>
      </c>
      <c r="P445">
        <v>70</v>
      </c>
      <c r="Q445" s="45">
        <v>42.902702714248811</v>
      </c>
      <c r="R445" t="s">
        <v>75</v>
      </c>
      <c r="S445">
        <v>26</v>
      </c>
    </row>
    <row r="446" spans="1:19">
      <c r="A446">
        <v>2444</v>
      </c>
      <c r="B446">
        <v>3444</v>
      </c>
      <c r="C446" t="s">
        <v>194</v>
      </c>
      <c r="D446" t="s">
        <v>186</v>
      </c>
      <c r="E446" t="s">
        <v>177</v>
      </c>
      <c r="F446" t="s">
        <v>262</v>
      </c>
      <c r="G446">
        <v>255</v>
      </c>
      <c r="H446" t="s">
        <v>290</v>
      </c>
      <c r="I446">
        <v>949</v>
      </c>
      <c r="J446" t="s">
        <v>233</v>
      </c>
      <c r="K446">
        <v>3</v>
      </c>
      <c r="L446" s="34">
        <v>45923.895138888889</v>
      </c>
      <c r="M446" s="34">
        <v>45923.897916666669</v>
      </c>
      <c r="N446">
        <v>239</v>
      </c>
      <c r="O446">
        <v>100</v>
      </c>
      <c r="P446">
        <v>55</v>
      </c>
      <c r="Q446" s="45">
        <v>40.370849117010749</v>
      </c>
      <c r="R446" t="s">
        <v>75</v>
      </c>
      <c r="S446">
        <v>35</v>
      </c>
    </row>
    <row r="447" spans="1:19">
      <c r="A447">
        <v>2445</v>
      </c>
      <c r="B447">
        <v>3445</v>
      </c>
      <c r="C447" t="s">
        <v>190</v>
      </c>
      <c r="D447" t="s">
        <v>84</v>
      </c>
      <c r="E447" t="s">
        <v>275</v>
      </c>
      <c r="F447" t="s">
        <v>256</v>
      </c>
      <c r="G447">
        <v>395</v>
      </c>
      <c r="H447" t="s">
        <v>286</v>
      </c>
      <c r="I447">
        <v>655</v>
      </c>
      <c r="J447" t="s">
        <v>235</v>
      </c>
      <c r="K447">
        <v>3</v>
      </c>
      <c r="L447" s="34">
        <v>45767.502083333333</v>
      </c>
      <c r="M447" s="34">
        <v>45767.504861111112</v>
      </c>
      <c r="N447">
        <v>257</v>
      </c>
      <c r="O447">
        <v>94</v>
      </c>
      <c r="P447">
        <v>63</v>
      </c>
      <c r="Q447" s="45">
        <v>50.005067759501053</v>
      </c>
      <c r="R447" t="s">
        <v>75</v>
      </c>
      <c r="S447">
        <v>48</v>
      </c>
    </row>
    <row r="448" spans="1:19">
      <c r="A448">
        <v>2446</v>
      </c>
      <c r="B448">
        <v>3446</v>
      </c>
      <c r="C448" t="s">
        <v>172</v>
      </c>
      <c r="D448" t="s">
        <v>176</v>
      </c>
      <c r="E448" t="s">
        <v>177</v>
      </c>
      <c r="F448" t="s">
        <v>260</v>
      </c>
      <c r="G448">
        <v>909</v>
      </c>
      <c r="H448" t="s">
        <v>291</v>
      </c>
      <c r="I448">
        <v>472</v>
      </c>
      <c r="J448" t="s">
        <v>213</v>
      </c>
      <c r="K448">
        <v>2</v>
      </c>
      <c r="L448" s="34">
        <v>45863.861111111109</v>
      </c>
      <c r="M448" s="34">
        <v>45863.864583333336</v>
      </c>
      <c r="N448">
        <v>260</v>
      </c>
      <c r="O448">
        <v>43</v>
      </c>
      <c r="P448">
        <v>91</v>
      </c>
      <c r="Q448" s="45">
        <v>55.966660023342705</v>
      </c>
      <c r="R448" t="s">
        <v>82</v>
      </c>
      <c r="S448">
        <v>5</v>
      </c>
    </row>
    <row r="449" spans="1:19">
      <c r="A449">
        <v>2447</v>
      </c>
      <c r="B449">
        <v>3447</v>
      </c>
      <c r="C449" t="s">
        <v>155</v>
      </c>
      <c r="D449" t="s">
        <v>189</v>
      </c>
      <c r="E449" t="s">
        <v>177</v>
      </c>
      <c r="F449" t="s">
        <v>260</v>
      </c>
      <c r="G449">
        <v>267</v>
      </c>
      <c r="H449" t="s">
        <v>291</v>
      </c>
      <c r="I449">
        <v>830</v>
      </c>
      <c r="J449" t="s">
        <v>232</v>
      </c>
      <c r="K449">
        <v>2</v>
      </c>
      <c r="L449" s="34">
        <v>45927.507638888892</v>
      </c>
      <c r="M449" s="34">
        <v>45927.512499999997</v>
      </c>
      <c r="N449">
        <v>386</v>
      </c>
      <c r="O449">
        <v>57</v>
      </c>
      <c r="P449">
        <v>86</v>
      </c>
      <c r="Q449" s="45">
        <v>75.411465813449155</v>
      </c>
      <c r="R449" t="s">
        <v>75</v>
      </c>
      <c r="S449">
        <v>22</v>
      </c>
    </row>
    <row r="450" spans="1:19">
      <c r="A450">
        <v>2448</v>
      </c>
      <c r="B450">
        <v>3448</v>
      </c>
      <c r="C450" t="s">
        <v>251</v>
      </c>
      <c r="D450" t="s">
        <v>156</v>
      </c>
      <c r="E450" t="s">
        <v>275</v>
      </c>
      <c r="F450" t="s">
        <v>260</v>
      </c>
      <c r="G450">
        <v>908</v>
      </c>
      <c r="H450" t="s">
        <v>289</v>
      </c>
      <c r="I450">
        <v>956</v>
      </c>
      <c r="J450" t="s">
        <v>185</v>
      </c>
      <c r="K450">
        <v>1</v>
      </c>
      <c r="L450" s="34">
        <v>45839.89166666667</v>
      </c>
      <c r="M450" s="34">
        <v>45839.898611111108</v>
      </c>
      <c r="N450">
        <v>598</v>
      </c>
      <c r="O450">
        <v>93</v>
      </c>
      <c r="P450">
        <v>85</v>
      </c>
      <c r="Q450" s="45">
        <v>100</v>
      </c>
      <c r="R450" t="s">
        <v>75</v>
      </c>
      <c r="S450">
        <v>6</v>
      </c>
    </row>
    <row r="451" spans="1:19">
      <c r="A451">
        <v>2449</v>
      </c>
      <c r="B451">
        <v>3449</v>
      </c>
      <c r="C451" t="s">
        <v>167</v>
      </c>
      <c r="D451" t="s">
        <v>195</v>
      </c>
      <c r="E451" t="s">
        <v>275</v>
      </c>
      <c r="F451" t="s">
        <v>263</v>
      </c>
      <c r="G451">
        <v>256</v>
      </c>
      <c r="H451" t="s">
        <v>297</v>
      </c>
      <c r="I451">
        <v>940</v>
      </c>
      <c r="J451" t="s">
        <v>238</v>
      </c>
      <c r="K451">
        <v>1</v>
      </c>
      <c r="L451" s="34">
        <v>45855.707638888889</v>
      </c>
      <c r="M451" s="34">
        <v>45855.713888888888</v>
      </c>
      <c r="N451">
        <v>586</v>
      </c>
      <c r="O451">
        <v>30</v>
      </c>
      <c r="P451">
        <v>71</v>
      </c>
      <c r="Q451" s="45">
        <v>94.242361778414718</v>
      </c>
      <c r="R451" t="s">
        <v>82</v>
      </c>
      <c r="S451">
        <v>35</v>
      </c>
    </row>
    <row r="452" spans="1:19">
      <c r="A452">
        <v>2450</v>
      </c>
      <c r="B452">
        <v>3450</v>
      </c>
      <c r="C452" t="s">
        <v>183</v>
      </c>
      <c r="D452" t="s">
        <v>195</v>
      </c>
      <c r="E452" t="s">
        <v>275</v>
      </c>
      <c r="F452" t="s">
        <v>181</v>
      </c>
      <c r="G452">
        <v>444</v>
      </c>
      <c r="H452" t="s">
        <v>280</v>
      </c>
      <c r="I452">
        <v>713</v>
      </c>
      <c r="J452" t="s">
        <v>272</v>
      </c>
      <c r="K452">
        <v>3</v>
      </c>
      <c r="L452" s="34">
        <v>45851.70208333333</v>
      </c>
      <c r="M452" s="34">
        <v>45851.70416666667</v>
      </c>
      <c r="N452">
        <v>188</v>
      </c>
      <c r="O452">
        <v>39</v>
      </c>
      <c r="P452">
        <v>70</v>
      </c>
      <c r="Q452" s="45">
        <v>48.172791091112863</v>
      </c>
      <c r="R452" t="s">
        <v>82</v>
      </c>
      <c r="S452">
        <v>39</v>
      </c>
    </row>
    <row r="453" spans="1:19">
      <c r="A453">
        <v>2451</v>
      </c>
      <c r="B453">
        <v>3451</v>
      </c>
      <c r="C453" t="s">
        <v>175</v>
      </c>
      <c r="D453" t="s">
        <v>249</v>
      </c>
      <c r="E453" t="s">
        <v>197</v>
      </c>
      <c r="F453" t="s">
        <v>203</v>
      </c>
      <c r="G453">
        <v>485</v>
      </c>
      <c r="H453" t="s">
        <v>295</v>
      </c>
      <c r="I453">
        <v>706</v>
      </c>
      <c r="J453" t="s">
        <v>158</v>
      </c>
      <c r="K453">
        <v>3</v>
      </c>
      <c r="L453" s="34">
        <v>45820.807638888888</v>
      </c>
      <c r="M453" s="34">
        <v>45820.809027777781</v>
      </c>
      <c r="N453">
        <v>115</v>
      </c>
      <c r="O453">
        <v>46</v>
      </c>
      <c r="P453">
        <v>91</v>
      </c>
      <c r="Q453" s="45">
        <v>26.722833181419276</v>
      </c>
      <c r="R453" t="s">
        <v>82</v>
      </c>
      <c r="S453">
        <v>40</v>
      </c>
    </row>
    <row r="454" spans="1:19">
      <c r="A454">
        <v>2452</v>
      </c>
      <c r="B454">
        <v>3452</v>
      </c>
      <c r="C454" t="s">
        <v>194</v>
      </c>
      <c r="D454" t="s">
        <v>234</v>
      </c>
      <c r="E454" t="s">
        <v>169</v>
      </c>
      <c r="F454" t="s">
        <v>267</v>
      </c>
      <c r="G454">
        <v>395</v>
      </c>
      <c r="H454" t="s">
        <v>284</v>
      </c>
      <c r="I454">
        <v>198</v>
      </c>
      <c r="J454" t="s">
        <v>244</v>
      </c>
      <c r="K454">
        <v>2</v>
      </c>
      <c r="L454" s="34">
        <v>45990.006249999999</v>
      </c>
      <c r="M454" s="34">
        <v>45990.012499999997</v>
      </c>
      <c r="N454">
        <v>538</v>
      </c>
      <c r="O454">
        <v>44</v>
      </c>
      <c r="P454">
        <v>61</v>
      </c>
      <c r="Q454" s="45">
        <v>78.288672675560846</v>
      </c>
      <c r="R454" t="s">
        <v>75</v>
      </c>
      <c r="S454">
        <v>8</v>
      </c>
    </row>
    <row r="455" spans="1:19">
      <c r="A455">
        <v>2453</v>
      </c>
      <c r="B455">
        <v>3453</v>
      </c>
      <c r="C455" t="s">
        <v>159</v>
      </c>
      <c r="D455" t="s">
        <v>249</v>
      </c>
      <c r="E455" t="s">
        <v>275</v>
      </c>
      <c r="F455" t="s">
        <v>239</v>
      </c>
      <c r="G455">
        <v>756</v>
      </c>
      <c r="H455" t="s">
        <v>291</v>
      </c>
      <c r="I455">
        <v>205</v>
      </c>
      <c r="J455" t="s">
        <v>196</v>
      </c>
      <c r="K455">
        <v>3</v>
      </c>
      <c r="L455" s="34">
        <v>45939.396527777775</v>
      </c>
      <c r="M455" s="34">
        <v>45939.401388888888</v>
      </c>
      <c r="N455">
        <v>457</v>
      </c>
      <c r="O455">
        <v>18</v>
      </c>
      <c r="P455">
        <v>73</v>
      </c>
      <c r="Q455" s="45">
        <v>84.689002349241321</v>
      </c>
      <c r="R455" t="s">
        <v>82</v>
      </c>
      <c r="S455">
        <v>43</v>
      </c>
    </row>
    <row r="456" spans="1:19">
      <c r="A456">
        <v>2454</v>
      </c>
      <c r="B456">
        <v>3454</v>
      </c>
      <c r="C456" t="s">
        <v>199</v>
      </c>
      <c r="D456" t="s">
        <v>70</v>
      </c>
      <c r="E456" t="s">
        <v>177</v>
      </c>
      <c r="F456" t="s">
        <v>269</v>
      </c>
      <c r="G456">
        <v>797</v>
      </c>
      <c r="H456" t="s">
        <v>280</v>
      </c>
      <c r="I456">
        <v>740</v>
      </c>
      <c r="J456" t="s">
        <v>222</v>
      </c>
      <c r="K456">
        <v>1</v>
      </c>
      <c r="L456" s="34">
        <v>45991.030555555553</v>
      </c>
      <c r="M456" s="34">
        <v>45991.031944444447</v>
      </c>
      <c r="N456">
        <v>142</v>
      </c>
      <c r="O456">
        <v>98</v>
      </c>
      <c r="P456">
        <v>80</v>
      </c>
      <c r="Q456" s="45">
        <v>29.741509191705987</v>
      </c>
      <c r="R456" t="s">
        <v>75</v>
      </c>
      <c r="S456">
        <v>22</v>
      </c>
    </row>
    <row r="457" spans="1:19">
      <c r="A457">
        <v>2455</v>
      </c>
      <c r="B457">
        <v>3455</v>
      </c>
      <c r="C457" t="s">
        <v>199</v>
      </c>
      <c r="D457" t="s">
        <v>189</v>
      </c>
      <c r="E457" t="s">
        <v>205</v>
      </c>
      <c r="F457" t="s">
        <v>268</v>
      </c>
      <c r="G457">
        <v>119</v>
      </c>
      <c r="H457" t="s">
        <v>298</v>
      </c>
      <c r="I457">
        <v>781</v>
      </c>
      <c r="J457" t="s">
        <v>211</v>
      </c>
      <c r="K457">
        <v>2</v>
      </c>
      <c r="L457" s="34">
        <v>45803.129166666666</v>
      </c>
      <c r="M457" s="34">
        <v>45803.132638888892</v>
      </c>
      <c r="N457">
        <v>318</v>
      </c>
      <c r="O457">
        <v>5</v>
      </c>
      <c r="P457">
        <v>68</v>
      </c>
      <c r="Q457" s="45">
        <v>63.841559063651125</v>
      </c>
      <c r="R457" t="s">
        <v>82</v>
      </c>
      <c r="S457">
        <v>24</v>
      </c>
    </row>
    <row r="458" spans="1:19">
      <c r="A458">
        <v>2456</v>
      </c>
      <c r="B458">
        <v>3456</v>
      </c>
      <c r="C458" t="s">
        <v>167</v>
      </c>
      <c r="D458" t="s">
        <v>189</v>
      </c>
      <c r="E458" t="s">
        <v>197</v>
      </c>
      <c r="F458" t="s">
        <v>273</v>
      </c>
      <c r="G458">
        <v>790</v>
      </c>
      <c r="H458" t="s">
        <v>294</v>
      </c>
      <c r="I458">
        <v>766</v>
      </c>
      <c r="J458" t="s">
        <v>257</v>
      </c>
      <c r="K458">
        <v>1</v>
      </c>
      <c r="L458" s="34">
        <v>45799.646527777775</v>
      </c>
      <c r="M458" s="34">
        <v>45799.647222222222</v>
      </c>
      <c r="N458">
        <v>66</v>
      </c>
      <c r="O458">
        <v>83</v>
      </c>
      <c r="P458">
        <v>80</v>
      </c>
      <c r="Q458" s="45">
        <v>25.468398448482326</v>
      </c>
      <c r="R458" t="s">
        <v>75</v>
      </c>
      <c r="S458">
        <v>17</v>
      </c>
    </row>
    <row r="459" spans="1:19">
      <c r="A459">
        <v>2457</v>
      </c>
      <c r="B459">
        <v>3457</v>
      </c>
      <c r="C459" t="s">
        <v>163</v>
      </c>
      <c r="D459" t="s">
        <v>168</v>
      </c>
      <c r="E459" t="s">
        <v>160</v>
      </c>
      <c r="F459" t="s">
        <v>266</v>
      </c>
      <c r="G459">
        <v>318</v>
      </c>
      <c r="H459" t="s">
        <v>296</v>
      </c>
      <c r="I459">
        <v>222</v>
      </c>
      <c r="J459" t="s">
        <v>230</v>
      </c>
      <c r="K459">
        <v>2</v>
      </c>
      <c r="L459" s="34">
        <v>45930.293055555558</v>
      </c>
      <c r="M459" s="34">
        <v>45930.29791666667</v>
      </c>
      <c r="N459">
        <v>436</v>
      </c>
      <c r="O459">
        <v>53</v>
      </c>
      <c r="P459">
        <v>79</v>
      </c>
      <c r="Q459" s="45">
        <v>86.465280583533314</v>
      </c>
      <c r="R459" t="s">
        <v>75</v>
      </c>
      <c r="S459">
        <v>45</v>
      </c>
    </row>
    <row r="460" spans="1:19">
      <c r="A460">
        <v>2458</v>
      </c>
      <c r="B460">
        <v>3458</v>
      </c>
      <c r="C460" t="s">
        <v>253</v>
      </c>
      <c r="D460" t="s">
        <v>70</v>
      </c>
      <c r="E460" t="s">
        <v>209</v>
      </c>
      <c r="F460" t="s">
        <v>181</v>
      </c>
      <c r="G460">
        <v>466</v>
      </c>
      <c r="H460" t="s">
        <v>302</v>
      </c>
      <c r="I460">
        <v>345</v>
      </c>
      <c r="J460" t="s">
        <v>257</v>
      </c>
      <c r="K460">
        <v>2</v>
      </c>
      <c r="L460" s="34">
        <v>45738.005555555559</v>
      </c>
      <c r="M460" s="34">
        <v>45738.007638888892</v>
      </c>
      <c r="N460">
        <v>178</v>
      </c>
      <c r="O460">
        <v>22</v>
      </c>
      <c r="P460">
        <v>55</v>
      </c>
      <c r="Q460" s="45">
        <v>37.357939665861075</v>
      </c>
      <c r="R460" t="s">
        <v>82</v>
      </c>
      <c r="S460">
        <v>19</v>
      </c>
    </row>
    <row r="461" spans="1:19">
      <c r="A461">
        <v>2459</v>
      </c>
      <c r="B461">
        <v>3459</v>
      </c>
      <c r="C461" t="s">
        <v>78</v>
      </c>
      <c r="D461" t="s">
        <v>70</v>
      </c>
      <c r="E461" t="s">
        <v>187</v>
      </c>
      <c r="F461" t="s">
        <v>270</v>
      </c>
      <c r="G461">
        <v>719</v>
      </c>
      <c r="H461" t="s">
        <v>295</v>
      </c>
      <c r="I461">
        <v>977</v>
      </c>
      <c r="J461" t="s">
        <v>272</v>
      </c>
      <c r="K461">
        <v>2</v>
      </c>
      <c r="L461" s="34">
        <v>45980.480555555558</v>
      </c>
      <c r="M461" s="34">
        <v>45980.482638888891</v>
      </c>
      <c r="N461">
        <v>191</v>
      </c>
      <c r="O461">
        <v>58</v>
      </c>
      <c r="P461">
        <v>76</v>
      </c>
      <c r="Q461" s="45">
        <v>32.815240472058072</v>
      </c>
      <c r="R461" t="s">
        <v>75</v>
      </c>
      <c r="S461">
        <v>15</v>
      </c>
    </row>
    <row r="462" spans="1:19">
      <c r="A462">
        <v>2460</v>
      </c>
      <c r="B462">
        <v>3460</v>
      </c>
      <c r="C462" t="s">
        <v>155</v>
      </c>
      <c r="D462" t="s">
        <v>221</v>
      </c>
      <c r="E462" t="s">
        <v>197</v>
      </c>
      <c r="F462" t="s">
        <v>263</v>
      </c>
      <c r="G462">
        <v>725</v>
      </c>
      <c r="H462" t="s">
        <v>288</v>
      </c>
      <c r="I462">
        <v>186</v>
      </c>
      <c r="J462" t="s">
        <v>252</v>
      </c>
      <c r="K462">
        <v>3</v>
      </c>
      <c r="L462" s="34">
        <v>45917.18472222222</v>
      </c>
      <c r="M462" s="34">
        <v>45917.189583333333</v>
      </c>
      <c r="N462">
        <v>470</v>
      </c>
      <c r="O462">
        <v>74</v>
      </c>
      <c r="P462">
        <v>60</v>
      </c>
      <c r="Q462" s="45">
        <v>75.817880702577199</v>
      </c>
      <c r="R462" t="s">
        <v>75</v>
      </c>
      <c r="S462">
        <v>26</v>
      </c>
    </row>
    <row r="463" spans="1:19">
      <c r="A463">
        <v>2461</v>
      </c>
      <c r="B463">
        <v>3461</v>
      </c>
      <c r="C463" t="s">
        <v>167</v>
      </c>
      <c r="D463" t="s">
        <v>221</v>
      </c>
      <c r="E463" t="s">
        <v>160</v>
      </c>
      <c r="F463" t="s">
        <v>255</v>
      </c>
      <c r="G463">
        <v>769</v>
      </c>
      <c r="H463" t="s">
        <v>302</v>
      </c>
      <c r="I463">
        <v>718</v>
      </c>
      <c r="J463" t="s">
        <v>171</v>
      </c>
      <c r="K463">
        <v>3</v>
      </c>
      <c r="L463" s="34">
        <v>45887.950694444444</v>
      </c>
      <c r="M463" s="34">
        <v>45887.957638888889</v>
      </c>
      <c r="N463">
        <v>580</v>
      </c>
      <c r="O463">
        <v>21</v>
      </c>
      <c r="P463">
        <v>91</v>
      </c>
      <c r="Q463" s="45">
        <v>100</v>
      </c>
      <c r="R463" t="s">
        <v>82</v>
      </c>
      <c r="S463">
        <v>13</v>
      </c>
    </row>
    <row r="464" spans="1:19">
      <c r="A464">
        <v>2462</v>
      </c>
      <c r="B464">
        <v>3462</v>
      </c>
      <c r="C464" t="s">
        <v>172</v>
      </c>
      <c r="D464" t="s">
        <v>207</v>
      </c>
      <c r="E464" t="s">
        <v>177</v>
      </c>
      <c r="F464" t="s">
        <v>260</v>
      </c>
      <c r="G464">
        <v>419</v>
      </c>
      <c r="H464" t="s">
        <v>279</v>
      </c>
      <c r="I464">
        <v>419</v>
      </c>
      <c r="J464" t="s">
        <v>226</v>
      </c>
      <c r="K464">
        <v>2</v>
      </c>
      <c r="L464" s="34">
        <v>45857.905555555553</v>
      </c>
      <c r="M464" s="34">
        <v>45857.910416666666</v>
      </c>
      <c r="N464">
        <v>380</v>
      </c>
      <c r="O464">
        <v>30</v>
      </c>
      <c r="P464">
        <v>58</v>
      </c>
      <c r="Q464" s="45">
        <v>61.091112702325766</v>
      </c>
      <c r="R464" t="s">
        <v>82</v>
      </c>
      <c r="S464">
        <v>34</v>
      </c>
    </row>
    <row r="465" spans="1:19">
      <c r="A465">
        <v>2463</v>
      </c>
      <c r="B465">
        <v>3463</v>
      </c>
      <c r="C465" t="s">
        <v>78</v>
      </c>
      <c r="D465" t="s">
        <v>84</v>
      </c>
      <c r="E465" t="s">
        <v>205</v>
      </c>
      <c r="F465" t="s">
        <v>262</v>
      </c>
      <c r="G465">
        <v>206</v>
      </c>
      <c r="H465" t="s">
        <v>303</v>
      </c>
      <c r="I465">
        <v>120</v>
      </c>
      <c r="J465" t="s">
        <v>240</v>
      </c>
      <c r="K465">
        <v>2</v>
      </c>
      <c r="L465" s="34">
        <v>45822.128472222219</v>
      </c>
      <c r="M465" s="34">
        <v>45822.131249999999</v>
      </c>
      <c r="N465">
        <v>226</v>
      </c>
      <c r="O465">
        <v>67</v>
      </c>
      <c r="P465">
        <v>96</v>
      </c>
      <c r="Q465" s="45">
        <v>35.788971452272826</v>
      </c>
      <c r="R465" t="s">
        <v>75</v>
      </c>
      <c r="S465">
        <v>37</v>
      </c>
    </row>
    <row r="466" spans="1:19">
      <c r="A466">
        <v>2464</v>
      </c>
      <c r="B466">
        <v>3464</v>
      </c>
      <c r="C466" t="s">
        <v>78</v>
      </c>
      <c r="D466" t="s">
        <v>224</v>
      </c>
      <c r="E466" t="s">
        <v>160</v>
      </c>
      <c r="F466" t="s">
        <v>181</v>
      </c>
      <c r="G466">
        <v>275</v>
      </c>
      <c r="H466" t="s">
        <v>286</v>
      </c>
      <c r="I466">
        <v>706</v>
      </c>
      <c r="J466" t="s">
        <v>196</v>
      </c>
      <c r="K466">
        <v>3</v>
      </c>
      <c r="L466" s="34">
        <v>45661.163194444445</v>
      </c>
      <c r="M466" s="34">
        <v>45661.168055555558</v>
      </c>
      <c r="N466">
        <v>414</v>
      </c>
      <c r="O466">
        <v>67</v>
      </c>
      <c r="P466">
        <v>97</v>
      </c>
      <c r="Q466" s="45">
        <v>72.162994592522026</v>
      </c>
      <c r="R466" t="s">
        <v>75</v>
      </c>
      <c r="S466">
        <v>13</v>
      </c>
    </row>
    <row r="467" spans="1:19">
      <c r="A467">
        <v>2465</v>
      </c>
      <c r="B467">
        <v>3465</v>
      </c>
      <c r="C467" t="s">
        <v>155</v>
      </c>
      <c r="D467" t="s">
        <v>176</v>
      </c>
      <c r="E467" t="s">
        <v>275</v>
      </c>
      <c r="F467" t="s">
        <v>256</v>
      </c>
      <c r="G467">
        <v>528</v>
      </c>
      <c r="H467" t="s">
        <v>284</v>
      </c>
      <c r="I467">
        <v>547</v>
      </c>
      <c r="J467" t="s">
        <v>213</v>
      </c>
      <c r="K467">
        <v>2</v>
      </c>
      <c r="L467" s="34">
        <v>45800.119444444441</v>
      </c>
      <c r="M467" s="34">
        <v>45800.121527777781</v>
      </c>
      <c r="N467">
        <v>143</v>
      </c>
      <c r="O467">
        <v>26</v>
      </c>
      <c r="P467">
        <v>82</v>
      </c>
      <c r="Q467" s="45">
        <v>23.486855610286408</v>
      </c>
      <c r="R467" t="s">
        <v>82</v>
      </c>
      <c r="S467">
        <v>20</v>
      </c>
    </row>
    <row r="468" spans="1:19">
      <c r="A468">
        <v>2466</v>
      </c>
      <c r="B468">
        <v>3466</v>
      </c>
      <c r="C468" t="s">
        <v>188</v>
      </c>
      <c r="D468" t="s">
        <v>202</v>
      </c>
      <c r="E468" t="s">
        <v>187</v>
      </c>
      <c r="F468" t="s">
        <v>267</v>
      </c>
      <c r="G468">
        <v>181</v>
      </c>
      <c r="H468" t="s">
        <v>288</v>
      </c>
      <c r="I468">
        <v>139</v>
      </c>
      <c r="J468" t="s">
        <v>196</v>
      </c>
      <c r="K468">
        <v>3</v>
      </c>
      <c r="L468" s="34">
        <v>45811.691666666666</v>
      </c>
      <c r="M468" s="34">
        <v>45811.697916666664</v>
      </c>
      <c r="N468">
        <v>559</v>
      </c>
      <c r="O468">
        <v>33</v>
      </c>
      <c r="P468">
        <v>100</v>
      </c>
      <c r="Q468" s="45">
        <v>94.187221464758949</v>
      </c>
      <c r="R468" t="s">
        <v>82</v>
      </c>
      <c r="S468">
        <v>44</v>
      </c>
    </row>
    <row r="469" spans="1:19">
      <c r="A469">
        <v>2467</v>
      </c>
      <c r="B469">
        <v>3467</v>
      </c>
      <c r="C469" t="s">
        <v>251</v>
      </c>
      <c r="D469" t="s">
        <v>234</v>
      </c>
      <c r="E469" t="s">
        <v>160</v>
      </c>
      <c r="F469" t="s">
        <v>262</v>
      </c>
      <c r="G469">
        <v>574</v>
      </c>
      <c r="H469" t="s">
        <v>289</v>
      </c>
      <c r="I469">
        <v>580</v>
      </c>
      <c r="J469" t="s">
        <v>252</v>
      </c>
      <c r="K469">
        <v>1</v>
      </c>
      <c r="L469" s="34">
        <v>45807.021527777775</v>
      </c>
      <c r="M469" s="34">
        <v>45807.022916666669</v>
      </c>
      <c r="N469">
        <v>69</v>
      </c>
      <c r="O469">
        <v>49</v>
      </c>
      <c r="P469">
        <v>72</v>
      </c>
      <c r="Q469" s="45">
        <v>19.504192843132845</v>
      </c>
      <c r="R469" t="s">
        <v>75</v>
      </c>
      <c r="S469">
        <v>21</v>
      </c>
    </row>
    <row r="470" spans="1:19">
      <c r="A470">
        <v>2468</v>
      </c>
      <c r="B470">
        <v>3468</v>
      </c>
      <c r="C470" t="s">
        <v>199</v>
      </c>
      <c r="D470" t="s">
        <v>186</v>
      </c>
      <c r="E470" t="s">
        <v>275</v>
      </c>
      <c r="F470" t="s">
        <v>265</v>
      </c>
      <c r="G470">
        <v>861</v>
      </c>
      <c r="H470" t="s">
        <v>303</v>
      </c>
      <c r="I470">
        <v>141</v>
      </c>
      <c r="J470" t="s">
        <v>231</v>
      </c>
      <c r="K470">
        <v>2</v>
      </c>
      <c r="L470" s="34">
        <v>45894.550694444442</v>
      </c>
      <c r="M470" s="34">
        <v>45894.552083333336</v>
      </c>
      <c r="N470">
        <v>143</v>
      </c>
      <c r="O470">
        <v>31</v>
      </c>
      <c r="P470">
        <v>100</v>
      </c>
      <c r="Q470" s="45">
        <v>24.868748863884697</v>
      </c>
      <c r="R470" t="s">
        <v>82</v>
      </c>
      <c r="S470">
        <v>18</v>
      </c>
    </row>
    <row r="471" spans="1:19">
      <c r="A471">
        <v>2469</v>
      </c>
      <c r="B471">
        <v>3469</v>
      </c>
      <c r="C471" t="s">
        <v>159</v>
      </c>
      <c r="D471" t="s">
        <v>164</v>
      </c>
      <c r="E471" t="s">
        <v>187</v>
      </c>
      <c r="F471" t="s">
        <v>203</v>
      </c>
      <c r="G471">
        <v>894</v>
      </c>
      <c r="H471" t="s">
        <v>281</v>
      </c>
      <c r="I471">
        <v>975</v>
      </c>
      <c r="J471" t="s">
        <v>244</v>
      </c>
      <c r="K471">
        <v>3</v>
      </c>
      <c r="L471" s="34">
        <v>45695.57708333333</v>
      </c>
      <c r="M471" s="34">
        <v>45695.583333333336</v>
      </c>
      <c r="N471">
        <v>541</v>
      </c>
      <c r="O471">
        <v>94</v>
      </c>
      <c r="P471">
        <v>75</v>
      </c>
      <c r="Q471" s="45">
        <v>85.962066009019111</v>
      </c>
      <c r="R471" t="s">
        <v>75</v>
      </c>
      <c r="S471">
        <v>12</v>
      </c>
    </row>
    <row r="472" spans="1:19">
      <c r="A472">
        <v>2470</v>
      </c>
      <c r="B472">
        <v>3470</v>
      </c>
      <c r="C472" t="s">
        <v>78</v>
      </c>
      <c r="D472" t="s">
        <v>249</v>
      </c>
      <c r="E472" t="s">
        <v>275</v>
      </c>
      <c r="F472" t="s">
        <v>255</v>
      </c>
      <c r="G472">
        <v>772</v>
      </c>
      <c r="H472" t="s">
        <v>278</v>
      </c>
      <c r="I472">
        <v>853</v>
      </c>
      <c r="J472" t="s">
        <v>235</v>
      </c>
      <c r="K472">
        <v>2</v>
      </c>
      <c r="L472" s="34">
        <v>45965.642361111109</v>
      </c>
      <c r="M472" s="34">
        <v>45965.643055555556</v>
      </c>
      <c r="N472">
        <v>62</v>
      </c>
      <c r="O472">
        <v>91</v>
      </c>
      <c r="P472">
        <v>92</v>
      </c>
      <c r="Q472" s="45">
        <v>18.600628244889634</v>
      </c>
      <c r="R472" t="s">
        <v>75</v>
      </c>
      <c r="S472">
        <v>46</v>
      </c>
    </row>
    <row r="473" spans="1:19">
      <c r="A473">
        <v>2471</v>
      </c>
      <c r="B473">
        <v>3471</v>
      </c>
      <c r="C473" t="s">
        <v>167</v>
      </c>
      <c r="D473" t="s">
        <v>224</v>
      </c>
      <c r="E473" t="s">
        <v>177</v>
      </c>
      <c r="F473" t="s">
        <v>268</v>
      </c>
      <c r="G473">
        <v>598</v>
      </c>
      <c r="H473" t="s">
        <v>289</v>
      </c>
      <c r="I473">
        <v>197</v>
      </c>
      <c r="J473" t="s">
        <v>254</v>
      </c>
      <c r="K473">
        <v>3</v>
      </c>
      <c r="L473" s="34">
        <v>45991.612500000003</v>
      </c>
      <c r="M473" s="34">
        <v>45991.617361111108</v>
      </c>
      <c r="N473">
        <v>381</v>
      </c>
      <c r="O473">
        <v>17</v>
      </c>
      <c r="P473">
        <v>84</v>
      </c>
      <c r="Q473" s="45">
        <v>53.33781696557525</v>
      </c>
      <c r="R473" t="s">
        <v>82</v>
      </c>
      <c r="S473">
        <v>25</v>
      </c>
    </row>
    <row r="474" spans="1:19">
      <c r="A474">
        <v>2472</v>
      </c>
      <c r="B474">
        <v>3472</v>
      </c>
      <c r="C474" t="s">
        <v>253</v>
      </c>
      <c r="D474" t="s">
        <v>195</v>
      </c>
      <c r="E474" t="s">
        <v>274</v>
      </c>
      <c r="F474" t="s">
        <v>256</v>
      </c>
      <c r="G474">
        <v>494</v>
      </c>
      <c r="H474" t="s">
        <v>294</v>
      </c>
      <c r="I474">
        <v>506</v>
      </c>
      <c r="J474" t="s">
        <v>236</v>
      </c>
      <c r="K474">
        <v>1</v>
      </c>
      <c r="L474" s="34">
        <v>45865.007638888892</v>
      </c>
      <c r="M474" s="34">
        <v>45865.013888888891</v>
      </c>
      <c r="N474">
        <v>564</v>
      </c>
      <c r="O474">
        <v>14</v>
      </c>
      <c r="P474">
        <v>79</v>
      </c>
      <c r="Q474" s="45">
        <v>80.777485088840677</v>
      </c>
      <c r="R474" t="s">
        <v>82</v>
      </c>
      <c r="S474">
        <v>36</v>
      </c>
    </row>
    <row r="475" spans="1:19">
      <c r="A475">
        <v>2473</v>
      </c>
      <c r="B475">
        <v>3473</v>
      </c>
      <c r="C475" t="s">
        <v>159</v>
      </c>
      <c r="D475" t="s">
        <v>241</v>
      </c>
      <c r="E475" t="s">
        <v>275</v>
      </c>
      <c r="F475" t="s">
        <v>266</v>
      </c>
      <c r="G475">
        <v>368</v>
      </c>
      <c r="H475" t="s">
        <v>278</v>
      </c>
      <c r="I475">
        <v>657</v>
      </c>
      <c r="J475" t="s">
        <v>238</v>
      </c>
      <c r="K475">
        <v>2</v>
      </c>
      <c r="L475" s="34">
        <v>45946.722222222219</v>
      </c>
      <c r="M475" s="34">
        <v>45946.723611111112</v>
      </c>
      <c r="N475">
        <v>126</v>
      </c>
      <c r="O475">
        <v>0</v>
      </c>
      <c r="P475">
        <v>58</v>
      </c>
      <c r="Q475" s="45">
        <v>36.491262779197129</v>
      </c>
      <c r="R475" t="s">
        <v>82</v>
      </c>
      <c r="S475">
        <v>49</v>
      </c>
    </row>
    <row r="476" spans="1:19">
      <c r="A476">
        <v>2474</v>
      </c>
      <c r="B476">
        <v>3474</v>
      </c>
      <c r="C476" t="s">
        <v>167</v>
      </c>
      <c r="D476" t="s">
        <v>215</v>
      </c>
      <c r="E476" t="s">
        <v>274</v>
      </c>
      <c r="F476" t="s">
        <v>268</v>
      </c>
      <c r="G476">
        <v>362</v>
      </c>
      <c r="H476" t="s">
        <v>288</v>
      </c>
      <c r="I476">
        <v>530</v>
      </c>
      <c r="J476" t="s">
        <v>201</v>
      </c>
      <c r="K476">
        <v>3</v>
      </c>
      <c r="L476" s="34">
        <v>45822.423611111109</v>
      </c>
      <c r="M476" s="34">
        <v>45822.428472222222</v>
      </c>
      <c r="N476">
        <v>405</v>
      </c>
      <c r="O476">
        <v>82</v>
      </c>
      <c r="P476">
        <v>77</v>
      </c>
      <c r="Q476" s="45">
        <v>66.670243795154278</v>
      </c>
      <c r="R476" t="s">
        <v>75</v>
      </c>
      <c r="S476">
        <v>31</v>
      </c>
    </row>
    <row r="477" spans="1:19">
      <c r="A477">
        <v>2475</v>
      </c>
      <c r="B477">
        <v>3475</v>
      </c>
      <c r="C477" t="s">
        <v>199</v>
      </c>
      <c r="D477" t="s">
        <v>180</v>
      </c>
      <c r="E477" t="s">
        <v>169</v>
      </c>
      <c r="F477" t="s">
        <v>255</v>
      </c>
      <c r="G477">
        <v>392</v>
      </c>
      <c r="H477" t="s">
        <v>286</v>
      </c>
      <c r="I477">
        <v>642</v>
      </c>
      <c r="J477" t="s">
        <v>193</v>
      </c>
      <c r="K477">
        <v>3</v>
      </c>
      <c r="L477" s="34">
        <v>45721.193055555559</v>
      </c>
      <c r="M477" s="34">
        <v>45721.193749999999</v>
      </c>
      <c r="N477">
        <v>90</v>
      </c>
      <c r="O477">
        <v>12</v>
      </c>
      <c r="P477">
        <v>58</v>
      </c>
      <c r="Q477" s="45">
        <v>26.397461984773688</v>
      </c>
      <c r="R477" t="s">
        <v>82</v>
      </c>
      <c r="S477">
        <v>17</v>
      </c>
    </row>
    <row r="478" spans="1:19">
      <c r="A478">
        <v>2476</v>
      </c>
      <c r="B478">
        <v>3476</v>
      </c>
      <c r="C478" t="s">
        <v>188</v>
      </c>
      <c r="D478" t="s">
        <v>168</v>
      </c>
      <c r="E478" t="s">
        <v>274</v>
      </c>
      <c r="F478" t="s">
        <v>258</v>
      </c>
      <c r="G478">
        <v>748</v>
      </c>
      <c r="H478" t="s">
        <v>301</v>
      </c>
      <c r="I478">
        <v>184</v>
      </c>
      <c r="J478" t="s">
        <v>232</v>
      </c>
      <c r="K478">
        <v>1</v>
      </c>
      <c r="L478" s="34">
        <v>45698.086111111108</v>
      </c>
      <c r="M478" s="34">
        <v>45698.09097222222</v>
      </c>
      <c r="N478">
        <v>410</v>
      </c>
      <c r="O478">
        <v>46</v>
      </c>
      <c r="P478">
        <v>63</v>
      </c>
      <c r="Q478" s="45">
        <v>74.005433346557979</v>
      </c>
      <c r="R478" t="s">
        <v>75</v>
      </c>
      <c r="S478">
        <v>31</v>
      </c>
    </row>
    <row r="479" spans="1:19">
      <c r="A479">
        <v>2477</v>
      </c>
      <c r="B479">
        <v>3477</v>
      </c>
      <c r="C479" t="s">
        <v>199</v>
      </c>
      <c r="D479" t="s">
        <v>261</v>
      </c>
      <c r="E479" t="s">
        <v>169</v>
      </c>
      <c r="F479" t="s">
        <v>271</v>
      </c>
      <c r="G479">
        <v>330</v>
      </c>
      <c r="H479" t="s">
        <v>287</v>
      </c>
      <c r="I479">
        <v>109</v>
      </c>
      <c r="J479" t="s">
        <v>246</v>
      </c>
      <c r="K479">
        <v>2</v>
      </c>
      <c r="L479" s="34">
        <v>45663.710416666669</v>
      </c>
      <c r="M479" s="34">
        <v>45663.712500000001</v>
      </c>
      <c r="N479">
        <v>225</v>
      </c>
      <c r="O479">
        <v>78</v>
      </c>
      <c r="P479">
        <v>64</v>
      </c>
      <c r="Q479" s="45">
        <v>48.239658397026574</v>
      </c>
      <c r="R479" t="s">
        <v>75</v>
      </c>
      <c r="S479">
        <v>10</v>
      </c>
    </row>
    <row r="480" spans="1:19">
      <c r="A480">
        <v>2478</v>
      </c>
      <c r="B480">
        <v>3478</v>
      </c>
      <c r="C480" t="s">
        <v>227</v>
      </c>
      <c r="D480" t="s">
        <v>202</v>
      </c>
      <c r="E480" t="s">
        <v>187</v>
      </c>
      <c r="F480" t="s">
        <v>268</v>
      </c>
      <c r="G480">
        <v>671</v>
      </c>
      <c r="H480" t="s">
        <v>278</v>
      </c>
      <c r="I480">
        <v>212</v>
      </c>
      <c r="J480" t="s">
        <v>244</v>
      </c>
      <c r="K480">
        <v>1</v>
      </c>
      <c r="L480" s="34">
        <v>45961.586805555555</v>
      </c>
      <c r="M480" s="34">
        <v>45961.593055555553</v>
      </c>
      <c r="N480">
        <v>506</v>
      </c>
      <c r="O480">
        <v>82</v>
      </c>
      <c r="P480">
        <v>72</v>
      </c>
      <c r="Q480" s="45">
        <v>76.374343501732895</v>
      </c>
      <c r="R480" t="s">
        <v>75</v>
      </c>
      <c r="S480">
        <v>47</v>
      </c>
    </row>
    <row r="481" spans="1:19">
      <c r="A481">
        <v>2479</v>
      </c>
      <c r="B481">
        <v>3479</v>
      </c>
      <c r="C481" t="s">
        <v>206</v>
      </c>
      <c r="D481" t="s">
        <v>189</v>
      </c>
      <c r="E481" t="s">
        <v>187</v>
      </c>
      <c r="F481" t="s">
        <v>256</v>
      </c>
      <c r="G481">
        <v>709</v>
      </c>
      <c r="H481" t="s">
        <v>296</v>
      </c>
      <c r="I481">
        <v>689</v>
      </c>
      <c r="J481" t="s">
        <v>220</v>
      </c>
      <c r="K481">
        <v>1</v>
      </c>
      <c r="L481" s="34">
        <v>45692.34375</v>
      </c>
      <c r="M481" s="34">
        <v>45692.34652777778</v>
      </c>
      <c r="N481">
        <v>218</v>
      </c>
      <c r="O481">
        <v>55</v>
      </c>
      <c r="P481">
        <v>90</v>
      </c>
      <c r="Q481" s="45">
        <v>47.521573569793787</v>
      </c>
      <c r="R481" t="s">
        <v>75</v>
      </c>
      <c r="S481">
        <v>28</v>
      </c>
    </row>
    <row r="482" spans="1:19">
      <c r="A482">
        <v>2480</v>
      </c>
      <c r="B482">
        <v>3480</v>
      </c>
      <c r="C482" t="s">
        <v>245</v>
      </c>
      <c r="D482" t="s">
        <v>207</v>
      </c>
      <c r="E482" t="s">
        <v>205</v>
      </c>
      <c r="F482" t="s">
        <v>270</v>
      </c>
      <c r="G482">
        <v>567</v>
      </c>
      <c r="H482" t="s">
        <v>285</v>
      </c>
      <c r="I482">
        <v>181</v>
      </c>
      <c r="J482" t="s">
        <v>198</v>
      </c>
      <c r="K482">
        <v>1</v>
      </c>
      <c r="L482" s="34">
        <v>45870.320138888892</v>
      </c>
      <c r="M482" s="34">
        <v>45870.321527777778</v>
      </c>
      <c r="N482">
        <v>126</v>
      </c>
      <c r="O482">
        <v>6</v>
      </c>
      <c r="P482">
        <v>96</v>
      </c>
      <c r="Q482" s="45">
        <v>41.06623536660215</v>
      </c>
      <c r="R482" t="s">
        <v>82</v>
      </c>
      <c r="S482">
        <v>6</v>
      </c>
    </row>
    <row r="483" spans="1:19">
      <c r="A483">
        <v>2481</v>
      </c>
      <c r="B483">
        <v>3481</v>
      </c>
      <c r="C483" t="s">
        <v>217</v>
      </c>
      <c r="D483" t="s">
        <v>241</v>
      </c>
      <c r="E483" t="s">
        <v>205</v>
      </c>
      <c r="F483" t="s">
        <v>263</v>
      </c>
      <c r="G483">
        <v>211</v>
      </c>
      <c r="H483" t="s">
        <v>281</v>
      </c>
      <c r="I483">
        <v>883</v>
      </c>
      <c r="J483" t="s">
        <v>193</v>
      </c>
      <c r="K483">
        <v>1</v>
      </c>
      <c r="L483" s="34">
        <v>45667.402777777781</v>
      </c>
      <c r="M483" s="34">
        <v>45667.406944444447</v>
      </c>
      <c r="N483">
        <v>348</v>
      </c>
      <c r="O483">
        <v>17</v>
      </c>
      <c r="P483">
        <v>90</v>
      </c>
      <c r="Q483" s="45">
        <v>53.544199442975263</v>
      </c>
      <c r="R483" t="s">
        <v>82</v>
      </c>
      <c r="S483">
        <v>12</v>
      </c>
    </row>
    <row r="484" spans="1:19">
      <c r="A484">
        <v>2482</v>
      </c>
      <c r="B484">
        <v>3482</v>
      </c>
      <c r="C484" t="s">
        <v>245</v>
      </c>
      <c r="D484" t="s">
        <v>176</v>
      </c>
      <c r="E484" t="s">
        <v>160</v>
      </c>
      <c r="F484" t="s">
        <v>270</v>
      </c>
      <c r="G484">
        <v>918</v>
      </c>
      <c r="H484" t="s">
        <v>295</v>
      </c>
      <c r="I484">
        <v>983</v>
      </c>
      <c r="J484" t="s">
        <v>198</v>
      </c>
      <c r="K484">
        <v>3</v>
      </c>
      <c r="L484" s="34">
        <v>45834.171527777777</v>
      </c>
      <c r="M484" s="34">
        <v>45834.17291666667</v>
      </c>
      <c r="N484">
        <v>130</v>
      </c>
      <c r="O484">
        <v>4</v>
      </c>
      <c r="P484">
        <v>98</v>
      </c>
      <c r="Q484" s="45">
        <v>32.369092382620657</v>
      </c>
      <c r="R484" t="s">
        <v>82</v>
      </c>
      <c r="S484">
        <v>12</v>
      </c>
    </row>
    <row r="485" spans="1:19">
      <c r="A485">
        <v>2483</v>
      </c>
      <c r="B485">
        <v>3483</v>
      </c>
      <c r="C485" t="s">
        <v>253</v>
      </c>
      <c r="D485" t="s">
        <v>241</v>
      </c>
      <c r="E485" t="s">
        <v>187</v>
      </c>
      <c r="F485" t="s">
        <v>181</v>
      </c>
      <c r="G485">
        <v>475</v>
      </c>
      <c r="H485" t="s">
        <v>291</v>
      </c>
      <c r="I485">
        <v>804</v>
      </c>
      <c r="J485" t="s">
        <v>226</v>
      </c>
      <c r="K485">
        <v>1</v>
      </c>
      <c r="L485" s="34">
        <v>45674.411805555559</v>
      </c>
      <c r="M485" s="34">
        <v>45674.413194444445</v>
      </c>
      <c r="N485">
        <v>143</v>
      </c>
      <c r="O485">
        <v>7</v>
      </c>
      <c r="P485">
        <v>74</v>
      </c>
      <c r="Q485" s="45">
        <v>33.83367116011329</v>
      </c>
      <c r="R485" t="s">
        <v>82</v>
      </c>
      <c r="S485">
        <v>47</v>
      </c>
    </row>
    <row r="486" spans="1:19">
      <c r="A486">
        <v>2484</v>
      </c>
      <c r="B486">
        <v>3484</v>
      </c>
      <c r="C486" t="s">
        <v>183</v>
      </c>
      <c r="D486" t="s">
        <v>84</v>
      </c>
      <c r="E486" t="s">
        <v>275</v>
      </c>
      <c r="F486" t="s">
        <v>157</v>
      </c>
      <c r="G486">
        <v>455</v>
      </c>
      <c r="H486" t="s">
        <v>297</v>
      </c>
      <c r="I486">
        <v>905</v>
      </c>
      <c r="J486" t="s">
        <v>185</v>
      </c>
      <c r="K486">
        <v>1</v>
      </c>
      <c r="L486" s="34">
        <v>45746.754166666666</v>
      </c>
      <c r="M486" s="34">
        <v>45746.759722222225</v>
      </c>
      <c r="N486">
        <v>493</v>
      </c>
      <c r="O486">
        <v>96</v>
      </c>
      <c r="P486">
        <v>57</v>
      </c>
      <c r="Q486" s="45">
        <v>81.165102419549399</v>
      </c>
      <c r="R486" t="s">
        <v>75</v>
      </c>
      <c r="S486">
        <v>32</v>
      </c>
    </row>
    <row r="487" spans="1:19">
      <c r="A487">
        <v>2485</v>
      </c>
      <c r="B487">
        <v>3485</v>
      </c>
      <c r="C487" t="s">
        <v>214</v>
      </c>
      <c r="D487" t="s">
        <v>168</v>
      </c>
      <c r="E487" t="s">
        <v>274</v>
      </c>
      <c r="F487" t="s">
        <v>181</v>
      </c>
      <c r="G487">
        <v>142</v>
      </c>
      <c r="H487" t="s">
        <v>281</v>
      </c>
      <c r="I487">
        <v>302</v>
      </c>
      <c r="J487" t="s">
        <v>171</v>
      </c>
      <c r="K487">
        <v>1</v>
      </c>
      <c r="L487" s="34">
        <v>45706.152777777781</v>
      </c>
      <c r="M487" s="34">
        <v>45706.15625</v>
      </c>
      <c r="N487">
        <v>287</v>
      </c>
      <c r="O487">
        <v>15</v>
      </c>
      <c r="P487">
        <v>59</v>
      </c>
      <c r="Q487" s="45">
        <v>46.127344984047028</v>
      </c>
      <c r="R487" t="s">
        <v>82</v>
      </c>
      <c r="S487">
        <v>28</v>
      </c>
    </row>
    <row r="488" spans="1:19">
      <c r="A488">
        <v>2486</v>
      </c>
      <c r="B488">
        <v>3486</v>
      </c>
      <c r="C488" t="s">
        <v>188</v>
      </c>
      <c r="D488" t="s">
        <v>164</v>
      </c>
      <c r="E488" t="s">
        <v>275</v>
      </c>
      <c r="F488" t="s">
        <v>263</v>
      </c>
      <c r="G488">
        <v>344</v>
      </c>
      <c r="H488" t="s">
        <v>294</v>
      </c>
      <c r="I488">
        <v>683</v>
      </c>
      <c r="J488" t="s">
        <v>198</v>
      </c>
      <c r="K488">
        <v>3</v>
      </c>
      <c r="L488" s="34">
        <v>45941.174305555556</v>
      </c>
      <c r="M488" s="34">
        <v>45941.177777777775</v>
      </c>
      <c r="N488">
        <v>314</v>
      </c>
      <c r="O488">
        <v>68</v>
      </c>
      <c r="P488">
        <v>62</v>
      </c>
      <c r="Q488" s="45">
        <v>68.900460556990097</v>
      </c>
      <c r="R488" t="s">
        <v>75</v>
      </c>
      <c r="S488">
        <v>14</v>
      </c>
    </row>
    <row r="489" spans="1:19">
      <c r="A489">
        <v>2487</v>
      </c>
      <c r="B489">
        <v>3487</v>
      </c>
      <c r="C489" t="s">
        <v>167</v>
      </c>
      <c r="D489" t="s">
        <v>156</v>
      </c>
      <c r="E489" t="s">
        <v>274</v>
      </c>
      <c r="F489" t="s">
        <v>181</v>
      </c>
      <c r="G489">
        <v>678</v>
      </c>
      <c r="H489" t="s">
        <v>302</v>
      </c>
      <c r="I489">
        <v>869</v>
      </c>
      <c r="J489" t="s">
        <v>174</v>
      </c>
      <c r="K489">
        <v>3</v>
      </c>
      <c r="L489" s="34">
        <v>45751.543055555558</v>
      </c>
      <c r="M489" s="34">
        <v>45751.548611111109</v>
      </c>
      <c r="N489">
        <v>471</v>
      </c>
      <c r="O489">
        <v>92</v>
      </c>
      <c r="P489">
        <v>96</v>
      </c>
      <c r="Q489" s="45">
        <v>94.871173633034161</v>
      </c>
      <c r="R489" t="s">
        <v>75</v>
      </c>
      <c r="S489">
        <v>28</v>
      </c>
    </row>
    <row r="490" spans="1:19">
      <c r="A490">
        <v>2488</v>
      </c>
      <c r="B490">
        <v>3488</v>
      </c>
      <c r="C490" t="s">
        <v>217</v>
      </c>
      <c r="D490" t="s">
        <v>164</v>
      </c>
      <c r="E490" t="s">
        <v>177</v>
      </c>
      <c r="F490" t="s">
        <v>203</v>
      </c>
      <c r="G490">
        <v>347</v>
      </c>
      <c r="H490" t="s">
        <v>286</v>
      </c>
      <c r="I490">
        <v>974</v>
      </c>
      <c r="J490" t="s">
        <v>162</v>
      </c>
      <c r="K490">
        <v>1</v>
      </c>
      <c r="L490" s="34">
        <v>45976.474305555559</v>
      </c>
      <c r="M490" s="34">
        <v>45976.479861111111</v>
      </c>
      <c r="N490">
        <v>466</v>
      </c>
      <c r="O490">
        <v>77</v>
      </c>
      <c r="P490">
        <v>97</v>
      </c>
      <c r="Q490" s="45">
        <v>58.062722214258258</v>
      </c>
      <c r="R490" t="s">
        <v>75</v>
      </c>
      <c r="S490">
        <v>31</v>
      </c>
    </row>
    <row r="491" spans="1:19">
      <c r="A491">
        <v>2489</v>
      </c>
      <c r="B491">
        <v>3489</v>
      </c>
      <c r="C491" t="s">
        <v>190</v>
      </c>
      <c r="D491" t="s">
        <v>176</v>
      </c>
      <c r="E491" t="s">
        <v>205</v>
      </c>
      <c r="F491" t="s">
        <v>268</v>
      </c>
      <c r="G491">
        <v>422</v>
      </c>
      <c r="H491" t="s">
        <v>303</v>
      </c>
      <c r="I491">
        <v>461</v>
      </c>
      <c r="J491" t="s">
        <v>247</v>
      </c>
      <c r="K491">
        <v>2</v>
      </c>
      <c r="L491" s="34">
        <v>45723.093055555553</v>
      </c>
      <c r="M491" s="34">
        <v>45723.097916666666</v>
      </c>
      <c r="N491">
        <v>427</v>
      </c>
      <c r="O491">
        <v>8</v>
      </c>
      <c r="P491">
        <v>91</v>
      </c>
      <c r="Q491" s="45">
        <v>70.87798489720079</v>
      </c>
      <c r="R491" t="s">
        <v>82</v>
      </c>
      <c r="S491">
        <v>12</v>
      </c>
    </row>
    <row r="492" spans="1:19">
      <c r="A492">
        <v>2490</v>
      </c>
      <c r="B492">
        <v>3490</v>
      </c>
      <c r="C492" t="s">
        <v>190</v>
      </c>
      <c r="D492" t="s">
        <v>195</v>
      </c>
      <c r="E492" t="s">
        <v>274</v>
      </c>
      <c r="F492" t="s">
        <v>181</v>
      </c>
      <c r="G492">
        <v>304</v>
      </c>
      <c r="H492" t="s">
        <v>291</v>
      </c>
      <c r="I492">
        <v>967</v>
      </c>
      <c r="J492" t="s">
        <v>174</v>
      </c>
      <c r="K492">
        <v>2</v>
      </c>
      <c r="L492" s="34">
        <v>45672.580555555556</v>
      </c>
      <c r="M492" s="34">
        <v>45672.581250000003</v>
      </c>
      <c r="N492">
        <v>81</v>
      </c>
      <c r="O492">
        <v>29</v>
      </c>
      <c r="P492">
        <v>100</v>
      </c>
      <c r="Q492" s="45">
        <v>16.065180679736105</v>
      </c>
      <c r="R492" t="s">
        <v>82</v>
      </c>
      <c r="S492">
        <v>42</v>
      </c>
    </row>
    <row r="493" spans="1:19">
      <c r="A493">
        <v>2491</v>
      </c>
      <c r="B493">
        <v>3491</v>
      </c>
      <c r="C493" t="s">
        <v>214</v>
      </c>
      <c r="D493" t="s">
        <v>207</v>
      </c>
      <c r="E493" t="s">
        <v>209</v>
      </c>
      <c r="F493" t="s">
        <v>239</v>
      </c>
      <c r="G493">
        <v>158</v>
      </c>
      <c r="H493" t="s">
        <v>276</v>
      </c>
      <c r="I493">
        <v>889</v>
      </c>
      <c r="J493" t="s">
        <v>229</v>
      </c>
      <c r="K493">
        <v>1</v>
      </c>
      <c r="L493" s="34">
        <v>45841.419444444444</v>
      </c>
      <c r="M493" s="34">
        <v>45841.423611111109</v>
      </c>
      <c r="N493">
        <v>379</v>
      </c>
      <c r="O493">
        <v>26</v>
      </c>
      <c r="P493">
        <v>51</v>
      </c>
      <c r="Q493" s="45">
        <v>69.550096051660702</v>
      </c>
      <c r="R493" t="s">
        <v>82</v>
      </c>
      <c r="S493">
        <v>10</v>
      </c>
    </row>
    <row r="494" spans="1:19">
      <c r="A494">
        <v>2492</v>
      </c>
      <c r="B494">
        <v>3492</v>
      </c>
      <c r="C494" t="s">
        <v>163</v>
      </c>
      <c r="D494" t="s">
        <v>168</v>
      </c>
      <c r="E494" t="s">
        <v>209</v>
      </c>
      <c r="F494" t="s">
        <v>255</v>
      </c>
      <c r="G494">
        <v>336</v>
      </c>
      <c r="H494" t="s">
        <v>292</v>
      </c>
      <c r="I494">
        <v>882</v>
      </c>
      <c r="J494" t="s">
        <v>248</v>
      </c>
      <c r="K494">
        <v>2</v>
      </c>
      <c r="L494" s="34">
        <v>45911.455555555556</v>
      </c>
      <c r="M494" s="34">
        <v>45911.457638888889</v>
      </c>
      <c r="N494">
        <v>169</v>
      </c>
      <c r="O494">
        <v>50</v>
      </c>
      <c r="P494">
        <v>67</v>
      </c>
      <c r="Q494" s="45">
        <v>31.853853026646721</v>
      </c>
      <c r="R494" t="s">
        <v>75</v>
      </c>
      <c r="S494">
        <v>7</v>
      </c>
    </row>
    <row r="495" spans="1:19">
      <c r="A495">
        <v>2493</v>
      </c>
      <c r="B495">
        <v>3493</v>
      </c>
      <c r="C495" t="s">
        <v>167</v>
      </c>
      <c r="D495" t="s">
        <v>249</v>
      </c>
      <c r="E495" t="s">
        <v>275</v>
      </c>
      <c r="F495" t="s">
        <v>265</v>
      </c>
      <c r="G495">
        <v>248</v>
      </c>
      <c r="H495" t="s">
        <v>298</v>
      </c>
      <c r="I495">
        <v>232</v>
      </c>
      <c r="J495" t="s">
        <v>204</v>
      </c>
      <c r="K495">
        <v>1</v>
      </c>
      <c r="L495" s="34">
        <v>45679.777777777781</v>
      </c>
      <c r="M495" s="34">
        <v>45679.78402777778</v>
      </c>
      <c r="N495">
        <v>496</v>
      </c>
      <c r="O495">
        <v>70</v>
      </c>
      <c r="P495">
        <v>60</v>
      </c>
      <c r="Q495" s="45">
        <v>78.397788504166158</v>
      </c>
      <c r="R495" t="s">
        <v>75</v>
      </c>
      <c r="S495">
        <v>48</v>
      </c>
    </row>
    <row r="496" spans="1:19">
      <c r="A496">
        <v>2494</v>
      </c>
      <c r="B496">
        <v>3494</v>
      </c>
      <c r="C496" t="s">
        <v>163</v>
      </c>
      <c r="D496" t="s">
        <v>70</v>
      </c>
      <c r="E496" t="s">
        <v>187</v>
      </c>
      <c r="F496" t="s">
        <v>258</v>
      </c>
      <c r="G496">
        <v>946</v>
      </c>
      <c r="H496" t="s">
        <v>288</v>
      </c>
      <c r="I496">
        <v>874</v>
      </c>
      <c r="J496" t="s">
        <v>240</v>
      </c>
      <c r="K496">
        <v>1</v>
      </c>
      <c r="L496" s="34">
        <v>45908.099305555559</v>
      </c>
      <c r="M496" s="34">
        <v>45908.104861111111</v>
      </c>
      <c r="N496">
        <v>524</v>
      </c>
      <c r="O496">
        <v>77</v>
      </c>
      <c r="P496">
        <v>96</v>
      </c>
      <c r="Q496" s="45">
        <v>100</v>
      </c>
      <c r="R496" t="s">
        <v>75</v>
      </c>
      <c r="S496">
        <v>23</v>
      </c>
    </row>
    <row r="497" spans="1:19">
      <c r="A497">
        <v>2495</v>
      </c>
      <c r="B497">
        <v>3495</v>
      </c>
      <c r="C497" t="s">
        <v>188</v>
      </c>
      <c r="D497" t="s">
        <v>168</v>
      </c>
      <c r="E497" t="s">
        <v>205</v>
      </c>
      <c r="F497" t="s">
        <v>256</v>
      </c>
      <c r="G497">
        <v>359</v>
      </c>
      <c r="H497" t="s">
        <v>282</v>
      </c>
      <c r="I497">
        <v>162</v>
      </c>
      <c r="J497" t="s">
        <v>238</v>
      </c>
      <c r="K497">
        <v>3</v>
      </c>
      <c r="L497" s="34">
        <v>45797.863888888889</v>
      </c>
      <c r="M497" s="34">
        <v>45797.867361111108</v>
      </c>
      <c r="N497">
        <v>308</v>
      </c>
      <c r="O497">
        <v>59</v>
      </c>
      <c r="P497">
        <v>89</v>
      </c>
      <c r="Q497" s="45">
        <v>54.580665671992215</v>
      </c>
      <c r="R497" t="s">
        <v>75</v>
      </c>
      <c r="S497">
        <v>33</v>
      </c>
    </row>
    <row r="498" spans="1:19">
      <c r="A498">
        <v>2496</v>
      </c>
      <c r="B498">
        <v>3496</v>
      </c>
      <c r="C498" t="s">
        <v>194</v>
      </c>
      <c r="D498" t="s">
        <v>176</v>
      </c>
      <c r="E498" t="s">
        <v>205</v>
      </c>
      <c r="F498" t="s">
        <v>181</v>
      </c>
      <c r="G498">
        <v>216</v>
      </c>
      <c r="H498" t="s">
        <v>301</v>
      </c>
      <c r="I498">
        <v>888</v>
      </c>
      <c r="J498" t="s">
        <v>166</v>
      </c>
      <c r="K498">
        <v>2</v>
      </c>
      <c r="L498" s="34">
        <v>45779.743055555555</v>
      </c>
      <c r="M498" s="34">
        <v>45779.746527777781</v>
      </c>
      <c r="N498">
        <v>311</v>
      </c>
      <c r="O498">
        <v>32</v>
      </c>
      <c r="P498">
        <v>89</v>
      </c>
      <c r="Q498" s="45">
        <v>67.487978265864754</v>
      </c>
      <c r="R498" t="s">
        <v>82</v>
      </c>
      <c r="S498">
        <v>13</v>
      </c>
    </row>
    <row r="499" spans="1:19">
      <c r="A499">
        <v>2497</v>
      </c>
      <c r="B499">
        <v>3497</v>
      </c>
      <c r="C499" t="s">
        <v>167</v>
      </c>
      <c r="D499" t="s">
        <v>186</v>
      </c>
      <c r="E499" t="s">
        <v>205</v>
      </c>
      <c r="F499" t="s">
        <v>262</v>
      </c>
      <c r="G499">
        <v>163</v>
      </c>
      <c r="H499" t="s">
        <v>301</v>
      </c>
      <c r="I499">
        <v>647</v>
      </c>
      <c r="J499" t="s">
        <v>252</v>
      </c>
      <c r="K499">
        <v>3</v>
      </c>
      <c r="L499" s="34">
        <v>45896.611111111109</v>
      </c>
      <c r="M499" s="34">
        <v>45896.612500000003</v>
      </c>
      <c r="N499">
        <v>117</v>
      </c>
      <c r="O499">
        <v>57</v>
      </c>
      <c r="P499">
        <v>88</v>
      </c>
      <c r="Q499" s="45">
        <v>29.507586328513984</v>
      </c>
      <c r="R499" t="s">
        <v>75</v>
      </c>
      <c r="S499">
        <v>18</v>
      </c>
    </row>
    <row r="500" spans="1:19">
      <c r="A500">
        <v>2498</v>
      </c>
      <c r="B500">
        <v>3498</v>
      </c>
      <c r="C500" t="s">
        <v>183</v>
      </c>
      <c r="D500" t="s">
        <v>84</v>
      </c>
      <c r="E500" t="s">
        <v>275</v>
      </c>
      <c r="F500" t="s">
        <v>181</v>
      </c>
      <c r="G500">
        <v>897</v>
      </c>
      <c r="H500" t="s">
        <v>288</v>
      </c>
      <c r="I500">
        <v>327</v>
      </c>
      <c r="J500" t="s">
        <v>226</v>
      </c>
      <c r="K500">
        <v>1</v>
      </c>
      <c r="L500" s="34">
        <v>45981.620833333334</v>
      </c>
      <c r="M500" s="34">
        <v>45981.627083333333</v>
      </c>
      <c r="N500">
        <v>528</v>
      </c>
      <c r="O500">
        <v>76</v>
      </c>
      <c r="P500">
        <v>59</v>
      </c>
      <c r="Q500" s="45">
        <v>82.155289015456546</v>
      </c>
      <c r="R500" t="s">
        <v>75</v>
      </c>
      <c r="S500">
        <v>47</v>
      </c>
    </row>
    <row r="501" spans="1:19">
      <c r="A501">
        <v>2499</v>
      </c>
      <c r="B501">
        <v>3499</v>
      </c>
      <c r="C501" t="s">
        <v>253</v>
      </c>
      <c r="D501" t="s">
        <v>234</v>
      </c>
      <c r="E501" t="s">
        <v>275</v>
      </c>
      <c r="F501" t="s">
        <v>270</v>
      </c>
      <c r="G501">
        <v>481</v>
      </c>
      <c r="H501" t="s">
        <v>283</v>
      </c>
      <c r="I501">
        <v>608</v>
      </c>
      <c r="J501" t="s">
        <v>240</v>
      </c>
      <c r="K501">
        <v>2</v>
      </c>
      <c r="L501" s="34">
        <v>45660.690972222219</v>
      </c>
      <c r="M501" s="34">
        <v>45660.691666666666</v>
      </c>
      <c r="N501">
        <v>80</v>
      </c>
      <c r="O501">
        <v>90</v>
      </c>
      <c r="P501">
        <v>69</v>
      </c>
      <c r="Q501" s="45">
        <v>23.513911815614584</v>
      </c>
      <c r="R501" t="s">
        <v>75</v>
      </c>
      <c r="S501">
        <v>6</v>
      </c>
    </row>
  </sheetData>
  <sortState ref="T2:T501">
    <sortCondition ref="T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K2" sqref="K2"/>
    </sheetView>
  </sheetViews>
  <sheetFormatPr defaultRowHeight="14.25"/>
  <cols>
    <col min="1" max="1" width="18" customWidth="1"/>
    <col min="2" max="2" width="24" customWidth="1"/>
    <col min="3" max="3" width="14" customWidth="1"/>
    <col min="4" max="4" width="26" customWidth="1"/>
    <col min="6" max="6" width="18" customWidth="1"/>
    <col min="7" max="7" width="24" customWidth="1"/>
    <col min="8" max="8" width="16" customWidth="1"/>
  </cols>
  <sheetData>
    <row r="1" spans="1:8" ht="187.9" customHeight="1">
      <c r="A1" s="47" t="s">
        <v>0</v>
      </c>
      <c r="B1" s="48" t="s">
        <v>0</v>
      </c>
      <c r="C1" s="48" t="s">
        <v>0</v>
      </c>
      <c r="D1" s="48" t="s">
        <v>0</v>
      </c>
      <c r="E1" s="48" t="s">
        <v>0</v>
      </c>
      <c r="F1" s="48" t="s">
        <v>0</v>
      </c>
      <c r="G1" s="48" t="s">
        <v>0</v>
      </c>
      <c r="H1" s="49" t="s">
        <v>0</v>
      </c>
    </row>
    <row r="3" spans="1:8" ht="26.85" customHeight="1">
      <c r="A3" s="50" t="s">
        <v>1</v>
      </c>
      <c r="B3" s="51" t="s">
        <v>1</v>
      </c>
      <c r="C3" s="51" t="s">
        <v>1</v>
      </c>
      <c r="D3" s="52" t="s">
        <v>1</v>
      </c>
      <c r="F3" s="50" t="s">
        <v>2</v>
      </c>
      <c r="G3" s="51" t="s">
        <v>2</v>
      </c>
      <c r="H3" s="52" t="s">
        <v>2</v>
      </c>
    </row>
    <row r="4" spans="1:8" ht="15" customHeight="1">
      <c r="A4" s="1" t="s">
        <v>3</v>
      </c>
      <c r="B4" s="2" t="s">
        <v>4</v>
      </c>
      <c r="C4" s="2" t="s">
        <v>5</v>
      </c>
      <c r="D4" s="3" t="s">
        <v>6</v>
      </c>
      <c r="F4" s="1" t="s">
        <v>7</v>
      </c>
      <c r="G4" s="2" t="s">
        <v>8</v>
      </c>
      <c r="H4" s="3" t="s">
        <v>9</v>
      </c>
    </row>
    <row r="5" spans="1:8" ht="36.6" customHeight="1">
      <c r="A5" s="4" t="s">
        <v>10</v>
      </c>
      <c r="B5" s="5" t="s">
        <v>11</v>
      </c>
      <c r="C5" s="5" t="s">
        <v>12</v>
      </c>
      <c r="D5" s="6" t="s">
        <v>13</v>
      </c>
      <c r="F5" s="4" t="s">
        <v>14</v>
      </c>
      <c r="G5" s="5" t="s">
        <v>15</v>
      </c>
      <c r="H5" s="6" t="s">
        <v>16</v>
      </c>
    </row>
    <row r="6" spans="1:8" ht="24.4" customHeight="1">
      <c r="A6" s="4" t="s">
        <v>17</v>
      </c>
      <c r="B6" s="5" t="s">
        <v>18</v>
      </c>
      <c r="C6" s="5" t="s">
        <v>12</v>
      </c>
      <c r="D6" s="6" t="s">
        <v>19</v>
      </c>
      <c r="F6" s="4" t="s">
        <v>20</v>
      </c>
      <c r="G6" s="5" t="s">
        <v>21</v>
      </c>
      <c r="H6" s="6" t="s">
        <v>22</v>
      </c>
    </row>
    <row r="7" spans="1:8" ht="24.4" customHeight="1">
      <c r="A7" s="4" t="s">
        <v>23</v>
      </c>
      <c r="B7" s="5" t="s">
        <v>24</v>
      </c>
      <c r="C7" s="5" t="s">
        <v>25</v>
      </c>
      <c r="D7" s="6" t="s">
        <v>26</v>
      </c>
      <c r="F7" s="4" t="s">
        <v>27</v>
      </c>
      <c r="G7" s="5" t="s">
        <v>28</v>
      </c>
      <c r="H7" s="6" t="s">
        <v>29</v>
      </c>
    </row>
    <row r="8" spans="1:8" ht="48.75" customHeight="1">
      <c r="A8" s="7" t="s">
        <v>30</v>
      </c>
      <c r="B8" s="8" t="s">
        <v>31</v>
      </c>
      <c r="C8" s="8" t="s">
        <v>12</v>
      </c>
      <c r="D8" s="9" t="s">
        <v>32</v>
      </c>
      <c r="F8" s="7" t="s">
        <v>33</v>
      </c>
      <c r="G8" s="8" t="s">
        <v>34</v>
      </c>
      <c r="H8" s="9" t="s">
        <v>35</v>
      </c>
    </row>
    <row r="10" spans="1:8" ht="15" customHeight="1">
      <c r="A10" s="1" t="s">
        <v>36</v>
      </c>
      <c r="B10" s="2" t="s">
        <v>37</v>
      </c>
      <c r="C10" s="2" t="s">
        <v>38</v>
      </c>
      <c r="D10" s="3" t="s">
        <v>39</v>
      </c>
      <c r="F10" s="1" t="s">
        <v>40</v>
      </c>
      <c r="G10" s="2" t="s">
        <v>37</v>
      </c>
      <c r="H10" s="3" t="s">
        <v>38</v>
      </c>
    </row>
    <row r="11" spans="1:8" ht="15" customHeight="1">
      <c r="A11" s="4" t="s">
        <v>41</v>
      </c>
      <c r="B11" s="36">
        <f ca="1">COUNTA(UNIQUE('Сырые попытки'!B2:B1048576))</f>
        <v>1</v>
      </c>
      <c r="C11" s="35">
        <f ca="1">COUNTA(UNIQUE('Сырые попытки'!B2:B1048576))</f>
        <v>1</v>
      </c>
      <c r="D11" s="6" t="s">
        <v>42</v>
      </c>
      <c r="F11" s="4" t="s">
        <v>43</v>
      </c>
      <c r="G11" s="36" t="e">
        <f>COUNTIFS('Сырые попытки'!#REF!,"&gt;=0",'Сырые попытки'!#REF!,"&lt;70")</f>
        <v>#REF!</v>
      </c>
      <c r="H11" s="37" t="e">
        <f>COUNTIFS('Сырые попытки'!#REF!,"&gt;=0",'Сырые попытки'!#REF!,"&lt;70")</f>
        <v>#REF!</v>
      </c>
    </row>
    <row r="12" spans="1:8" ht="15" customHeight="1">
      <c r="A12" s="4" t="s">
        <v>44</v>
      </c>
      <c r="B12" s="36">
        <f>COUNTA('Сырые попытки'!A2:A1048576)</f>
        <v>500</v>
      </c>
      <c r="C12" s="35">
        <f>COUNTA('Сырые попытки'!A2:A1048576)</f>
        <v>500</v>
      </c>
      <c r="D12" s="6" t="s">
        <v>45</v>
      </c>
      <c r="F12" s="4" t="s">
        <v>46</v>
      </c>
      <c r="G12" s="36" t="e">
        <f>COUNTIFS('Сырые попытки'!#REF!,"&gt;=70",'Сырые попытки'!#REF!,"&lt;80")</f>
        <v>#REF!</v>
      </c>
      <c r="H12" s="37" t="e">
        <f>COUNTIFS('Сырые попытки'!#REF!,"&gt;=70",'Сырые попытки'!#REF!,"&lt;80")</f>
        <v>#REF!</v>
      </c>
    </row>
    <row r="13" spans="1:8" ht="15" customHeight="1">
      <c r="A13" s="7" t="s">
        <v>47</v>
      </c>
      <c r="B13" s="39" t="e">
        <f>AVERAGE('Сырые попытки'!#REF!)</f>
        <v>#REF!</v>
      </c>
      <c r="C13" s="38" t="e">
        <f>AVERAGE('Сырые попытки'!#REF!)</f>
        <v>#REF!</v>
      </c>
      <c r="D13" s="9" t="s">
        <v>48</v>
      </c>
      <c r="F13" s="4" t="s">
        <v>49</v>
      </c>
      <c r="G13" s="36" t="e">
        <f>COUNTIFS('Сырые попытки'!#REF!,"&gt;=80",'Сырые попытки'!#REF!,"&lt;90")</f>
        <v>#REF!</v>
      </c>
      <c r="H13" s="37" t="e">
        <f>COUNTIFS('Сырые попытки'!#REF!,"&gt;=80",'Сырые попытки'!#REF!,"&lt;90")</f>
        <v>#REF!</v>
      </c>
    </row>
    <row r="14" spans="1:8" ht="15" customHeight="1">
      <c r="F14" s="7" t="s">
        <v>50</v>
      </c>
      <c r="G14" s="39" t="e">
        <f>COUNTIFS('Сырые попытки'!#REF!,"&gt;=90")</f>
        <v>#REF!</v>
      </c>
      <c r="H14" s="40" t="e">
        <f>COUNTIFS('Сырые попытки'!#REF!,"&gt;=90")</f>
        <v>#REF!</v>
      </c>
    </row>
  </sheetData>
  <mergeCells count="3">
    <mergeCell ref="A1:H1"/>
    <mergeCell ref="A3:D3"/>
    <mergeCell ref="F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8" sqref="C18"/>
    </sheetView>
  </sheetViews>
  <sheetFormatPr defaultRowHeight="14.25"/>
  <cols>
    <col min="1" max="1" width="10" customWidth="1"/>
    <col min="2" max="2" width="10.5" bestFit="1" customWidth="1"/>
    <col min="3" max="3" width="36" customWidth="1"/>
    <col min="4" max="4" width="14" customWidth="1"/>
    <col min="5" max="6" width="22" customWidth="1"/>
    <col min="7" max="7" width="10" customWidth="1"/>
    <col min="8" max="8" width="12.75" bestFit="1" customWidth="1"/>
  </cols>
  <sheetData>
    <row r="1" spans="1:8" s="30" customFormat="1" ht="15" customHeight="1">
      <c r="A1" s="27" t="s">
        <v>51</v>
      </c>
      <c r="B1" s="28" t="s">
        <v>87</v>
      </c>
      <c r="C1" s="28" t="s">
        <v>88</v>
      </c>
      <c r="D1" s="28" t="s">
        <v>89</v>
      </c>
      <c r="E1" s="28" t="s">
        <v>90</v>
      </c>
      <c r="F1" s="28" t="s">
        <v>91</v>
      </c>
      <c r="G1" s="28" t="s">
        <v>92</v>
      </c>
      <c r="H1" s="29" t="s">
        <v>93</v>
      </c>
    </row>
    <row r="2" spans="1:8" ht="15" customHeight="1">
      <c r="A2" s="11">
        <v>1001</v>
      </c>
      <c r="B2" s="12">
        <v>1</v>
      </c>
      <c r="C2" s="10" t="s">
        <v>94</v>
      </c>
      <c r="D2" s="10" t="s">
        <v>95</v>
      </c>
      <c r="E2" s="10" t="s">
        <v>96</v>
      </c>
      <c r="F2" s="10" t="s">
        <v>96</v>
      </c>
      <c r="G2" s="12">
        <v>1</v>
      </c>
      <c r="H2" s="17">
        <v>1</v>
      </c>
    </row>
    <row r="3" spans="1:8" ht="24.4" customHeight="1">
      <c r="A3" s="13">
        <v>1001</v>
      </c>
      <c r="B3" s="14">
        <v>2</v>
      </c>
      <c r="C3" s="5" t="s">
        <v>97</v>
      </c>
      <c r="D3" s="5" t="s">
        <v>95</v>
      </c>
      <c r="E3" s="5"/>
      <c r="F3" s="5"/>
      <c r="G3" s="14">
        <v>1</v>
      </c>
      <c r="H3" s="18">
        <v>1</v>
      </c>
    </row>
    <row r="4" spans="1:8" ht="15" customHeight="1">
      <c r="A4" s="13">
        <v>1001</v>
      </c>
      <c r="B4" s="14">
        <v>3</v>
      </c>
      <c r="C4" s="5" t="s">
        <v>98</v>
      </c>
      <c r="D4" s="5" t="s">
        <v>95</v>
      </c>
      <c r="E4" s="5" t="s">
        <v>99</v>
      </c>
      <c r="F4" s="5" t="s">
        <v>99</v>
      </c>
      <c r="G4" s="14">
        <v>1</v>
      </c>
      <c r="H4" s="18">
        <v>1</v>
      </c>
    </row>
    <row r="5" spans="1:8" ht="15" customHeight="1">
      <c r="A5" s="13">
        <v>1002</v>
      </c>
      <c r="B5" s="14">
        <v>1</v>
      </c>
      <c r="C5" s="5" t="s">
        <v>100</v>
      </c>
      <c r="D5" s="5" t="s">
        <v>95</v>
      </c>
      <c r="E5" s="5" t="s">
        <v>101</v>
      </c>
      <c r="F5" s="5" t="s">
        <v>101</v>
      </c>
      <c r="G5" s="14">
        <v>1</v>
      </c>
      <c r="H5" s="18">
        <v>1</v>
      </c>
    </row>
    <row r="6" spans="1:8" ht="15" customHeight="1">
      <c r="A6" s="13">
        <v>1002</v>
      </c>
      <c r="B6" s="14">
        <v>2</v>
      </c>
      <c r="C6" s="5" t="s">
        <v>102</v>
      </c>
      <c r="D6" s="5" t="s">
        <v>95</v>
      </c>
      <c r="E6" s="5" t="s">
        <v>103</v>
      </c>
      <c r="F6" s="5" t="s">
        <v>103</v>
      </c>
      <c r="G6" s="14">
        <v>1</v>
      </c>
      <c r="H6" s="18">
        <v>1</v>
      </c>
    </row>
    <row r="7" spans="1:8" ht="15" customHeight="1">
      <c r="A7" s="13">
        <v>1003</v>
      </c>
      <c r="B7" s="14">
        <v>1</v>
      </c>
      <c r="C7" s="5" t="s">
        <v>104</v>
      </c>
      <c r="D7" s="5" t="s">
        <v>95</v>
      </c>
      <c r="E7" s="5" t="s">
        <v>105</v>
      </c>
      <c r="F7" s="5" t="s">
        <v>105</v>
      </c>
      <c r="G7" s="14">
        <v>1</v>
      </c>
      <c r="H7" s="18">
        <v>1</v>
      </c>
    </row>
    <row r="8" spans="1:8" ht="15" customHeight="1">
      <c r="A8" s="13">
        <v>1003</v>
      </c>
      <c r="B8" s="14">
        <v>2</v>
      </c>
      <c r="C8" s="5" t="s">
        <v>106</v>
      </c>
      <c r="D8" s="5" t="s">
        <v>95</v>
      </c>
      <c r="E8" s="5" t="s">
        <v>107</v>
      </c>
      <c r="F8" s="5" t="s">
        <v>107</v>
      </c>
      <c r="G8" s="14">
        <v>0</v>
      </c>
      <c r="H8" s="18">
        <v>1</v>
      </c>
    </row>
    <row r="9" spans="1:8" ht="15" customHeight="1">
      <c r="A9" s="13">
        <v>1004</v>
      </c>
      <c r="B9" s="14">
        <v>1</v>
      </c>
      <c r="C9" s="5" t="s">
        <v>108</v>
      </c>
      <c r="D9" s="5" t="s">
        <v>95</v>
      </c>
      <c r="E9" s="5" t="s">
        <v>109</v>
      </c>
      <c r="F9" s="5" t="s">
        <v>109</v>
      </c>
      <c r="G9" s="14">
        <v>1</v>
      </c>
      <c r="H9" s="18">
        <v>1</v>
      </c>
    </row>
    <row r="10" spans="1:8" ht="15" customHeight="1">
      <c r="A10" s="13">
        <v>1005</v>
      </c>
      <c r="B10" s="14">
        <v>1</v>
      </c>
      <c r="C10" s="5" t="s">
        <v>110</v>
      </c>
      <c r="D10" s="5" t="s">
        <v>95</v>
      </c>
      <c r="E10" s="5" t="s">
        <v>111</v>
      </c>
      <c r="F10" s="5" t="s">
        <v>111</v>
      </c>
      <c r="G10" s="14">
        <v>1</v>
      </c>
      <c r="H10" s="18">
        <v>1</v>
      </c>
    </row>
    <row r="11" spans="1:8" ht="24.4" customHeight="1">
      <c r="A11" s="13">
        <v>1005</v>
      </c>
      <c r="B11" s="14">
        <v>2</v>
      </c>
      <c r="C11" s="5" t="s">
        <v>112</v>
      </c>
      <c r="D11" s="5" t="s">
        <v>95</v>
      </c>
      <c r="E11" s="5" t="s">
        <v>113</v>
      </c>
      <c r="F11" s="5" t="s">
        <v>113</v>
      </c>
      <c r="G11" s="14">
        <v>1</v>
      </c>
      <c r="H11" s="18">
        <v>1</v>
      </c>
    </row>
    <row r="12" spans="1:8" ht="15" customHeight="1">
      <c r="A12" s="13">
        <v>1006</v>
      </c>
      <c r="B12" s="14">
        <v>1</v>
      </c>
      <c r="C12" s="5" t="s">
        <v>114</v>
      </c>
      <c r="D12" s="5" t="s">
        <v>95</v>
      </c>
      <c r="E12" s="5" t="s">
        <v>115</v>
      </c>
      <c r="F12" s="5" t="s">
        <v>115</v>
      </c>
      <c r="G12" s="14">
        <v>1</v>
      </c>
      <c r="H12" s="18">
        <v>1</v>
      </c>
    </row>
    <row r="13" spans="1:8" ht="15" customHeight="1">
      <c r="A13" s="13">
        <v>1006</v>
      </c>
      <c r="B13" s="14">
        <v>2</v>
      </c>
      <c r="C13" s="5" t="s">
        <v>116</v>
      </c>
      <c r="D13" s="5" t="s">
        <v>95</v>
      </c>
      <c r="E13" s="5" t="s">
        <v>117</v>
      </c>
      <c r="F13" s="5" t="s">
        <v>117</v>
      </c>
      <c r="G13" s="14">
        <v>0</v>
      </c>
      <c r="H13" s="18">
        <v>1</v>
      </c>
    </row>
    <row r="14" spans="1:8" ht="15" customHeight="1">
      <c r="A14" s="13">
        <v>1007</v>
      </c>
      <c r="B14" s="14">
        <v>1</v>
      </c>
      <c r="C14" s="5" t="s">
        <v>118</v>
      </c>
      <c r="D14" s="5" t="s">
        <v>95</v>
      </c>
      <c r="E14" s="5" t="s">
        <v>119</v>
      </c>
      <c r="F14" s="5" t="s">
        <v>119</v>
      </c>
      <c r="G14" s="14">
        <v>1</v>
      </c>
      <c r="H14" s="18">
        <v>1</v>
      </c>
    </row>
    <row r="15" spans="1:8" ht="15" customHeight="1">
      <c r="A15" s="15">
        <v>1008</v>
      </c>
      <c r="B15" s="16">
        <v>1</v>
      </c>
      <c r="C15" s="8" t="s">
        <v>120</v>
      </c>
      <c r="D15" s="8" t="s">
        <v>95</v>
      </c>
      <c r="E15" s="8" t="s">
        <v>121</v>
      </c>
      <c r="F15" s="8" t="s">
        <v>121</v>
      </c>
      <c r="G15" s="16">
        <v>1</v>
      </c>
      <c r="H15" s="1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3" sqref="A3:XFD3"/>
    </sheetView>
  </sheetViews>
  <sheetFormatPr defaultRowHeight="14.25"/>
  <cols>
    <col min="1" max="1" width="10" customWidth="1"/>
    <col min="2" max="2" width="24" customWidth="1"/>
    <col min="3" max="3" width="14" customWidth="1"/>
    <col min="4" max="4" width="12" customWidth="1"/>
    <col min="5" max="5" width="10" customWidth="1"/>
    <col min="6" max="7" width="12" customWidth="1"/>
    <col min="8" max="8" width="20" customWidth="1"/>
  </cols>
  <sheetData>
    <row r="1" spans="1:8" ht="68.45" customHeight="1">
      <c r="A1" s="47" t="s">
        <v>122</v>
      </c>
      <c r="B1" s="48" t="s">
        <v>122</v>
      </c>
      <c r="C1" s="48" t="s">
        <v>122</v>
      </c>
      <c r="D1" s="48" t="s">
        <v>122</v>
      </c>
      <c r="E1" s="48" t="s">
        <v>122</v>
      </c>
      <c r="F1" s="48" t="s">
        <v>122</v>
      </c>
      <c r="G1" s="48" t="s">
        <v>122</v>
      </c>
      <c r="H1" s="49" t="s">
        <v>122</v>
      </c>
    </row>
    <row r="3" spans="1:8" s="30" customFormat="1" ht="15" customHeight="1">
      <c r="A3" s="31" t="s">
        <v>52</v>
      </c>
      <c r="B3" s="32" t="s">
        <v>123</v>
      </c>
      <c r="C3" s="32" t="s">
        <v>124</v>
      </c>
      <c r="D3" s="32" t="s">
        <v>125</v>
      </c>
      <c r="E3" s="32" t="s">
        <v>44</v>
      </c>
      <c r="F3" s="32" t="s">
        <v>126</v>
      </c>
      <c r="G3" s="32" t="s">
        <v>127</v>
      </c>
      <c r="H3" s="33" t="s">
        <v>128</v>
      </c>
    </row>
    <row r="4" spans="1:8" ht="15" customHeight="1">
      <c r="A4" s="4">
        <v>1001</v>
      </c>
      <c r="B4" s="5" t="s">
        <v>129</v>
      </c>
      <c r="C4" s="5" t="s">
        <v>71</v>
      </c>
      <c r="D4" s="5" t="s">
        <v>72</v>
      </c>
      <c r="E4" s="36">
        <f>COUNTIF('Сырые попытки'!$B$2:$B$1048576,A4)</f>
        <v>0</v>
      </c>
      <c r="F4" s="35" t="e">
        <f>AVERAGEIF('Сырые попытки'!$B$2:$B$1048576,A4,'Сырые попытки'!#REF!)</f>
        <v>#REF!</v>
      </c>
      <c r="G4" s="35" t="e">
        <f ca="1">MAXIFS('Сырые попытки'!#REF!,'Сырые попытки'!$B$2:$B$1048576,A4)</f>
        <v>#NAME?</v>
      </c>
      <c r="H4" s="41" t="e">
        <f ca="1">MAXIFS('Сырые попытки'!$M$2:$M$1048576,'Сырые попытки'!$B$2:$B$1048576,A4)</f>
        <v>#NAME?</v>
      </c>
    </row>
    <row r="5" spans="1:8" ht="15" customHeight="1">
      <c r="A5" s="4">
        <v>1002</v>
      </c>
      <c r="B5" s="5" t="s">
        <v>130</v>
      </c>
      <c r="C5" s="5" t="s">
        <v>79</v>
      </c>
      <c r="D5" s="5" t="s">
        <v>80</v>
      </c>
      <c r="E5" s="36">
        <f>COUNTIF('Сырые попытки'!$B$2:$B$1048576,A5)</f>
        <v>0</v>
      </c>
      <c r="F5" s="35" t="e">
        <f>AVERAGEIF('Сырые попытки'!$B$2:$B$1048576,A5,'Сырые попытки'!#REF!)</f>
        <v>#REF!</v>
      </c>
      <c r="G5" s="35" t="e">
        <f ca="1">MAXIFS('Сырые попытки'!#REF!,'Сырые попытки'!$B$2:$B$1048576,A5)</f>
        <v>#NAME?</v>
      </c>
      <c r="H5" s="41" t="e">
        <f ca="1">MAXIFS('Сырые попытки'!$M$2:$M$1048576,'Сырые попытки'!$B$2:$B$1048576,A5)</f>
        <v>#NAME?</v>
      </c>
    </row>
    <row r="6" spans="1:8" ht="15" customHeight="1">
      <c r="A6" s="4">
        <v>1003</v>
      </c>
      <c r="B6" s="5" t="s">
        <v>131</v>
      </c>
      <c r="C6" s="5" t="s">
        <v>71</v>
      </c>
      <c r="D6" s="5" t="s">
        <v>83</v>
      </c>
      <c r="E6" s="36">
        <f>COUNTIF('Сырые попытки'!$B$2:$B$1048576,A6)</f>
        <v>0</v>
      </c>
      <c r="F6" s="35" t="e">
        <f>AVERAGEIF('Сырые попытки'!$B$2:$B$1048576,A6,'Сырые попытки'!#REF!)</f>
        <v>#REF!</v>
      </c>
      <c r="G6" s="35" t="e">
        <f ca="1">MAXIFS('Сырые попытки'!#REF!,'Сырые попытки'!$B$2:$B$1048576,A6)</f>
        <v>#NAME?</v>
      </c>
      <c r="H6" s="41" t="e">
        <f ca="1">MAXIFS('Сырые попытки'!$M$2:$M$1048576,'Сырые попытки'!$B$2:$B$1048576,A6)</f>
        <v>#NAME?</v>
      </c>
    </row>
    <row r="7" spans="1:8" ht="15" customHeight="1">
      <c r="A7" s="7">
        <v>1004</v>
      </c>
      <c r="B7" s="8" t="s">
        <v>132</v>
      </c>
      <c r="C7" s="8" t="s">
        <v>85</v>
      </c>
      <c r="D7" s="8" t="s">
        <v>86</v>
      </c>
      <c r="E7" s="39">
        <f>COUNTIF('Сырые попытки'!$B$2:$B$1048576,A7)</f>
        <v>0</v>
      </c>
      <c r="F7" s="38" t="e">
        <f>AVERAGEIF('Сырые попытки'!$B$2:$B$1048576,A7,'Сырые попытки'!#REF!)</f>
        <v>#REF!</v>
      </c>
      <c r="G7" s="38" t="e">
        <f ca="1">MAXIFS('Сырые попытки'!#REF!,'Сырые попытки'!$B$2:$B$1048576,A7)</f>
        <v>#NAME?</v>
      </c>
      <c r="H7" s="42" t="e">
        <f ca="1">MAXIFS('Сырые попытки'!$M$2:$M$1048576,'Сырые попытки'!$B$2:$B$1048576,A7)</f>
        <v>#NAME?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11" sqref="B11"/>
    </sheetView>
  </sheetViews>
  <sheetFormatPr defaultRowHeight="14.25"/>
  <cols>
    <col min="1" max="1" width="18" customWidth="1"/>
    <col min="2" max="2" width="28" customWidth="1"/>
    <col min="3" max="3" width="12" customWidth="1"/>
    <col min="4" max="4" width="18" customWidth="1"/>
    <col min="5" max="5" width="12" customWidth="1"/>
    <col min="6" max="7" width="10" customWidth="1"/>
  </cols>
  <sheetData>
    <row r="1" spans="1:8" ht="68.45" customHeight="1">
      <c r="A1" s="47" t="s">
        <v>133</v>
      </c>
      <c r="B1" s="48" t="s">
        <v>133</v>
      </c>
      <c r="C1" s="48" t="s">
        <v>133</v>
      </c>
      <c r="D1" s="48" t="s">
        <v>133</v>
      </c>
      <c r="E1" s="48" t="s">
        <v>133</v>
      </c>
      <c r="F1" s="48" t="s">
        <v>133</v>
      </c>
      <c r="G1" s="48" t="s">
        <v>133</v>
      </c>
      <c r="H1" s="49" t="s">
        <v>133</v>
      </c>
    </row>
    <row r="3" spans="1:8" ht="15" customHeight="1">
      <c r="A3" s="1" t="s">
        <v>36</v>
      </c>
      <c r="B3" s="2" t="s">
        <v>37</v>
      </c>
      <c r="C3" s="2" t="s">
        <v>38</v>
      </c>
      <c r="D3" s="22" t="s">
        <v>60</v>
      </c>
      <c r="E3" s="2" t="s">
        <v>134</v>
      </c>
      <c r="F3" s="2" t="s">
        <v>135</v>
      </c>
      <c r="G3" s="3" t="s">
        <v>136</v>
      </c>
    </row>
    <row r="4" spans="1:8" ht="15" customHeight="1">
      <c r="A4" s="4" t="s">
        <v>42</v>
      </c>
      <c r="B4" s="36">
        <f ca="1">COUNTA(UNIQUE('Сырые попытки'!B2:B1048576))</f>
        <v>1</v>
      </c>
      <c r="C4" s="35">
        <f ca="1">COUNTA(UNIQUE('Сырые попытки'!B2:B1048576))</f>
        <v>1</v>
      </c>
      <c r="D4" s="20" t="s">
        <v>74</v>
      </c>
      <c r="E4" s="35" t="e">
        <f>AVERAGEIF('Сырые попытки'!$J$2:$J$1048576,D4,'Сырые попытки'!#REF!)</f>
        <v>#REF!</v>
      </c>
      <c r="F4" s="36">
        <f>COUNTIF('Сырые попытки'!$J$2:$J$1048576,D4)</f>
        <v>0</v>
      </c>
      <c r="G4" s="37">
        <f>COUNTIFS('Сырые попытки'!$J$2:$J$1048576,D4,'Сырые попытки'!$R$2:$R$1048576,"Сдано")</f>
        <v>0</v>
      </c>
    </row>
    <row r="5" spans="1:8" ht="15" customHeight="1">
      <c r="A5" s="4" t="s">
        <v>45</v>
      </c>
      <c r="B5" s="36">
        <f>COUNTA('Сырые попытки'!A2:A1048576)</f>
        <v>500</v>
      </c>
      <c r="C5" s="35">
        <f>COUNTA('Сырые попытки'!A2:A1048576)</f>
        <v>500</v>
      </c>
      <c r="D5" s="20" t="s">
        <v>77</v>
      </c>
      <c r="E5" s="35" t="e">
        <f>AVERAGEIF('Сырые попытки'!$J$2:$J$1048576,D5,'Сырые попытки'!#REF!)</f>
        <v>#REF!</v>
      </c>
      <c r="F5" s="36">
        <f>COUNTIF('Сырые попытки'!$J$2:$J$1048576,D5)</f>
        <v>0</v>
      </c>
      <c r="G5" s="37">
        <f>COUNTIFS('Сырые попытки'!$J$2:$J$1048576,D5,'Сырые попытки'!$R$2:$R$1048576,"Сдано")</f>
        <v>0</v>
      </c>
    </row>
    <row r="6" spans="1:8" ht="15" customHeight="1">
      <c r="A6" s="4" t="s">
        <v>47</v>
      </c>
      <c r="B6" s="36" t="e">
        <f>AVERAGE('Сырые попытки'!#REF!)</f>
        <v>#REF!</v>
      </c>
      <c r="C6" s="35" t="e">
        <f>AVERAGE('Сырые попытки'!#REF!)</f>
        <v>#REF!</v>
      </c>
      <c r="D6" s="21" t="s">
        <v>81</v>
      </c>
      <c r="E6" s="38" t="e">
        <f>AVERAGEIF('Сырые попытки'!$J$2:$J$1048576,D6,'Сырые попытки'!#REF!)</f>
        <v>#REF!</v>
      </c>
      <c r="F6" s="39">
        <f>COUNTIF('Сырые попытки'!$J$2:$J$1048576,D6)</f>
        <v>0</v>
      </c>
      <c r="G6" s="40">
        <f>COUNTIFS('Сырые попытки'!$J$2:$J$1048576,D6,'Сырые попытки'!$R$2:$R$1048576,"Сдано")</f>
        <v>0</v>
      </c>
    </row>
    <row r="7" spans="1:8" ht="24.4" customHeight="1">
      <c r="A7" s="7" t="s">
        <v>137</v>
      </c>
      <c r="B7" s="39">
        <f>COUNTIF('Сырые попытки'!$R$2:$R$1048576,"Сдано")/COUNTA('Сырые попытки'!A2:A1048576)</f>
        <v>0.52400000000000002</v>
      </c>
      <c r="C7" s="38">
        <f>COUNTIF('Сырые попытки'!$R$2:$R$1048576,"Сдано")/COUNTA('Сырые попытки'!A2:A1048576)</f>
        <v>0.52400000000000002</v>
      </c>
      <c r="D7" s="9" t="s">
        <v>138</v>
      </c>
    </row>
    <row r="10" spans="1:8" ht="15" customHeight="1">
      <c r="A10" s="1" t="s">
        <v>139</v>
      </c>
      <c r="B10" s="2" t="s">
        <v>37</v>
      </c>
      <c r="C10" s="3" t="s">
        <v>38</v>
      </c>
    </row>
    <row r="11" spans="1:8" ht="15" customHeight="1">
      <c r="A11" s="4" t="s">
        <v>43</v>
      </c>
      <c r="B11" s="36" t="e">
        <f>COUNTIFS('Сырые попытки'!#REF!,"&gt;=0",'Сырые попытки'!#REF!,"&lt;70")</f>
        <v>#REF!</v>
      </c>
      <c r="C11" s="37" t="e">
        <f>COUNTIFS('Сырые попытки'!#REF!,"&gt;=0",'Сырые попытки'!#REF!,"&lt;70")</f>
        <v>#REF!</v>
      </c>
    </row>
    <row r="12" spans="1:8" ht="15" customHeight="1">
      <c r="A12" s="4" t="s">
        <v>46</v>
      </c>
      <c r="B12" s="36" t="e">
        <f>COUNTIFS('Сырые попытки'!#REF!,"&gt;=70",'Сырые попытки'!#REF!,"&lt;80")</f>
        <v>#REF!</v>
      </c>
      <c r="C12" s="37" t="e">
        <f>COUNTIFS('Сырые попытки'!#REF!,"&gt;=70",'Сырые попытки'!#REF!,"&lt;80")</f>
        <v>#REF!</v>
      </c>
    </row>
    <row r="13" spans="1:8" ht="15" customHeight="1">
      <c r="A13" s="4" t="s">
        <v>49</v>
      </c>
      <c r="B13" s="36" t="e">
        <f>COUNTIFS('Сырые попытки'!#REF!,"&gt;=80",'Сырые попытки'!#REF!,"&lt;90")</f>
        <v>#REF!</v>
      </c>
      <c r="C13" s="37" t="e">
        <f>COUNTIFS('Сырые попытки'!#REF!,"&gt;=80",'Сырые попытки'!#REF!,"&lt;90")</f>
        <v>#REF!</v>
      </c>
    </row>
    <row r="14" spans="1:8" ht="15" customHeight="1">
      <c r="A14" s="4" t="s">
        <v>50</v>
      </c>
      <c r="B14" s="36" t="e">
        <f>COUNTIFS('Сырые попытки'!#REF!,"&gt;=90")</f>
        <v>#REF!</v>
      </c>
      <c r="C14" s="37" t="e">
        <f>COUNTIFS('Сырые попытки'!#REF!,"&gt;=90")</f>
        <v>#REF!</v>
      </c>
    </row>
    <row r="15" spans="1:8" ht="15" customHeight="1">
      <c r="A15" s="7" t="s">
        <v>140</v>
      </c>
      <c r="B15" s="8" t="e">
        <f>SUM(C11:C14)</f>
        <v>#REF!</v>
      </c>
      <c r="C15" s="9" t="e">
        <f>SUM(C11:C14)</f>
        <v>#REF!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H1"/>
    </sheetView>
  </sheetViews>
  <sheetFormatPr defaultRowHeight="14.25"/>
  <cols>
    <col min="1" max="2" width="18" customWidth="1"/>
    <col min="3" max="3" width="12" customWidth="1"/>
    <col min="4" max="4" width="18" customWidth="1"/>
    <col min="5" max="5" width="14" customWidth="1"/>
    <col min="6" max="6" width="10" customWidth="1"/>
  </cols>
  <sheetData>
    <row r="1" spans="1:8" ht="170.85" customHeight="1">
      <c r="A1" s="47" t="s">
        <v>141</v>
      </c>
      <c r="B1" s="48" t="s">
        <v>141</v>
      </c>
      <c r="C1" s="48" t="s">
        <v>141</v>
      </c>
      <c r="D1" s="48" t="s">
        <v>141</v>
      </c>
      <c r="E1" s="48" t="s">
        <v>141</v>
      </c>
      <c r="F1" s="48" t="s">
        <v>141</v>
      </c>
      <c r="G1" s="48" t="s">
        <v>141</v>
      </c>
      <c r="H1" s="49" t="s">
        <v>141</v>
      </c>
    </row>
    <row r="3" spans="1:8" ht="15" customHeight="1">
      <c r="A3" s="1" t="s">
        <v>142</v>
      </c>
      <c r="B3" s="2" t="s">
        <v>37</v>
      </c>
      <c r="C3" s="2" t="s">
        <v>38</v>
      </c>
      <c r="D3" s="3" t="s">
        <v>143</v>
      </c>
    </row>
    <row r="4" spans="1:8" ht="24.4" customHeight="1">
      <c r="A4" s="4" t="s">
        <v>44</v>
      </c>
      <c r="B4" s="36">
        <f>COUNTIF('Сырые попытки'!$B$2:$B$1048576,1001)</f>
        <v>0</v>
      </c>
      <c r="C4" s="35">
        <f>COUNTIF('Сырые попытки'!$B$2:$B$1048576,1001)</f>
        <v>0</v>
      </c>
      <c r="D4" s="6" t="s">
        <v>144</v>
      </c>
    </row>
    <row r="5" spans="1:8" ht="15" customHeight="1">
      <c r="A5" s="4" t="s">
        <v>126</v>
      </c>
      <c r="B5" s="36" t="e">
        <f>AVERAGEIF('Сырые попытки'!$B$2:$B$1048576,1001,'Сырые попытки'!#REF!)</f>
        <v>#REF!</v>
      </c>
      <c r="C5" s="35" t="e">
        <f>AVERAGEIF('Сырые попытки'!$B$2:$B$1048576,1001,'Сырые попытки'!#REF!)</f>
        <v>#REF!</v>
      </c>
      <c r="D5" s="6" t="s">
        <v>48</v>
      </c>
    </row>
    <row r="6" spans="1:8" ht="24.4" customHeight="1">
      <c r="A6" s="4" t="s">
        <v>145</v>
      </c>
      <c r="B6" s="36" t="e">
        <f ca="1">MAXIFS('Сырые попытки'!#REF!,'Сырые попытки'!$B$2:$B$1048576,1001)</f>
        <v>#NAME?</v>
      </c>
      <c r="C6" s="35" t="e">
        <f ca="1">MAXIFS('Сырые попытки'!#REF!,'Сырые попытки'!$B$2:$B$1048576,1001)</f>
        <v>#NAME?</v>
      </c>
      <c r="D6" s="6" t="s">
        <v>146</v>
      </c>
    </row>
    <row r="7" spans="1:8" ht="24.4" customHeight="1">
      <c r="A7" s="4" t="s">
        <v>147</v>
      </c>
      <c r="B7" s="36" t="e">
        <f ca="1">MAXIFS('Сырые попытки'!$M$2:$M$1048576,'Сырые попытки'!$B$2:$B$1048576,1001)</f>
        <v>#NAME?</v>
      </c>
      <c r="C7" s="43" t="e">
        <f ca="1">MAXIFS('Сырые попытки'!$M$2:$M$1048576,'Сырые попытки'!$B$2:$B$1048576,1001)</f>
        <v>#NAME?</v>
      </c>
      <c r="D7" s="6" t="s">
        <v>148</v>
      </c>
    </row>
    <row r="8" spans="1:8" ht="24.4" customHeight="1">
      <c r="A8" s="7" t="s">
        <v>149</v>
      </c>
      <c r="B8" s="39" t="e">
        <f ca="1">XLOOKUP(MAXIFS('Сырые попытки'!$A$2:$A$1048576,'Сырые попытки'!$B$2:$B$1048576,1001),'Сырые попытки'!$A$2:$A$1048576,'Сырые попытки'!$H$2:$H$1048576)</f>
        <v>#NAME?</v>
      </c>
      <c r="C8" s="39" t="e">
        <f ca="1">XLOOKUP(MAXIFS('Сырые попытки'!$A$2:$A$1048576,'Сырые попытки'!$B$2:$B$1048576,1001),'Сырые попытки'!$A$2:$A$1048576,'Сырые попытки'!$H$2:$H$1048576)</f>
        <v>#NAME?</v>
      </c>
      <c r="D8" s="9" t="s">
        <v>150</v>
      </c>
    </row>
    <row r="11" spans="1:8" ht="15" customHeight="1">
      <c r="A11" s="1" t="s">
        <v>151</v>
      </c>
      <c r="B11" s="2" t="s">
        <v>152</v>
      </c>
      <c r="C11" s="2" t="s">
        <v>20</v>
      </c>
      <c r="D11" s="2" t="s">
        <v>14</v>
      </c>
      <c r="E11" s="2" t="s">
        <v>153</v>
      </c>
      <c r="F11" s="3" t="s">
        <v>154</v>
      </c>
    </row>
    <row r="12" spans="1:8" ht="24.4" customHeight="1">
      <c r="A12" s="23">
        <v>46113.381249999999</v>
      </c>
      <c r="B12" s="5" t="s">
        <v>73</v>
      </c>
      <c r="C12" s="5" t="s">
        <v>74</v>
      </c>
      <c r="D12" s="5">
        <v>1</v>
      </c>
      <c r="E12" s="5" t="s">
        <v>75</v>
      </c>
      <c r="F12" s="25">
        <v>84</v>
      </c>
    </row>
    <row r="13" spans="1:8" ht="15" customHeight="1">
      <c r="A13" s="24">
        <v>46114.383333333331</v>
      </c>
      <c r="B13" s="8" t="s">
        <v>76</v>
      </c>
      <c r="C13" s="8" t="s">
        <v>77</v>
      </c>
      <c r="D13" s="8">
        <v>1</v>
      </c>
      <c r="E13" s="8" t="s">
        <v>75</v>
      </c>
      <c r="F13" s="26">
        <v>77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Сырые попытки</vt:lpstr>
      <vt:lpstr>Обзор</vt:lpstr>
      <vt:lpstr>Ответы по вопросам</vt:lpstr>
      <vt:lpstr>Сводка студента</vt:lpstr>
      <vt:lpstr>Сводка университета</vt:lpstr>
      <vt:lpstr>Восстановл_Лист1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Sautov</cp:lastModifiedBy>
  <dcterms:created xsi:type="dcterms:W3CDTF">2026-04-29T14:37:01Z</dcterms:created>
  <dcterms:modified xsi:type="dcterms:W3CDTF">2026-05-03T11:27:14Z</dcterms:modified>
</cp:coreProperties>
</file>